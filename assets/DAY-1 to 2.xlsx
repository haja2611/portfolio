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jam\OneDrive\Documents\Jain College\Day 1\workbooks\"/>
    </mc:Choice>
  </mc:AlternateContent>
  <xr:revisionPtr revIDLastSave="0" documentId="13_ncr:1_{682ABCA0-69AD-4136-8975-25F5E0F18CFB}" xr6:coauthVersionLast="47" xr6:coauthVersionMax="47" xr10:uidLastSave="{00000000-0000-0000-0000-000000000000}"/>
  <bookViews>
    <workbookView xWindow="-120" yWindow="-120" windowWidth="20730" windowHeight="11040" firstSheet="3" activeTab="4" xr2:uid="{FF61FA1D-451C-4472-935F-D7C45D03603F}"/>
  </bookViews>
  <sheets>
    <sheet name="VLOOKUP" sheetId="1" r:id="rId1"/>
    <sheet name="HLOOKUP" sheetId="2" r:id="rId2"/>
    <sheet name="XLOOKUP" sheetId="3" r:id="rId3"/>
    <sheet name="SUMIFS-COUNTIFS-AVERAGEIFS" sheetId="4" r:id="rId4"/>
    <sheet name="IFS" sheetId="5" r:id="rId5"/>
    <sheet name="INDEX + MATCH" sheetId="6" r:id="rId6"/>
    <sheet name=" IFERROR &amp; IFNA" sheetId="7" r:id="rId7"/>
    <sheet name="South Region sales" sheetId="8" r:id="rId8"/>
    <sheet name="West Region Sales" sheetId="9" r:id="rId9"/>
    <sheet name="Lookup_sale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5" l="1"/>
  <c r="D2" i="5" a="1"/>
  <c r="D2" i="5" s="1"/>
  <c r="C3" i="5"/>
  <c r="D3" i="5" a="1"/>
  <c r="D3" i="5"/>
  <c r="C4" i="5"/>
  <c r="D4" i="5" a="1"/>
  <c r="D4" i="5"/>
  <c r="C5" i="5"/>
  <c r="D5" i="5" a="1"/>
  <c r="D5" i="5"/>
  <c r="C6" i="5"/>
  <c r="D6" i="5" a="1"/>
  <c r="D6" i="5" s="1"/>
  <c r="C7" i="5"/>
  <c r="D7" i="5" a="1"/>
  <c r="D7" i="5" s="1"/>
  <c r="I8" i="4"/>
  <c r="I7" i="4"/>
  <c r="I6" i="4"/>
  <c r="A26" i="7"/>
  <c r="A29" i="7"/>
  <c r="A24" i="5" a="1"/>
  <c r="A24" i="5" s="1"/>
  <c r="A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<sst xmlns="http://schemas.openxmlformats.org/spreadsheetml/2006/main" count="554" uniqueCount="316">
  <si>
    <t>Employee ID</t>
  </si>
  <si>
    <t>Employee Name</t>
  </si>
  <si>
    <t>Department</t>
  </si>
  <si>
    <t>Salary</t>
  </si>
  <si>
    <t>E101</t>
  </si>
  <si>
    <t>Alice Chen</t>
  </si>
  <si>
    <t>Marketing</t>
  </si>
  <si>
    <t>E102</t>
  </si>
  <si>
    <t>Ben Smith</t>
  </si>
  <si>
    <t>Sales</t>
  </si>
  <si>
    <t>E103</t>
  </si>
  <si>
    <t>Carla Diaz</t>
  </si>
  <si>
    <t>IT</t>
  </si>
  <si>
    <t>E104</t>
  </si>
  <si>
    <t>David Lee</t>
  </si>
  <si>
    <t>VLOOKUP</t>
  </si>
  <si>
    <t>1. Function Description:</t>
  </si>
  <si>
    <t>VLOOKUP (Vertical Lookup) searches for a value in the first column of a table and returns a value in the same row from a column you specify. It's perfect for finding specific information in a list.</t>
  </si>
  <si>
    <t>2. Sample Data:</t>
  </si>
  <si>
    <t>Enter this data starting in cell A1.</t>
  </si>
  <si>
    <t>3. Instructions:</t>
  </si>
  <si>
    <t>Let's find the department for Employee ID "E103".</t>
  </si>
  <si>
    <r>
      <t xml:space="preserve">In cell </t>
    </r>
    <r>
      <rPr>
        <sz val="11"/>
        <color rgb="FF188038"/>
        <rFont val="Courier New"/>
        <family val="3"/>
      </rPr>
      <t>B7</t>
    </r>
    <r>
      <rPr>
        <sz val="11"/>
        <color rgb="FF000000"/>
        <rFont val="Arial"/>
        <family val="2"/>
      </rPr>
      <t xml:space="preserve">, type: </t>
    </r>
    <r>
      <rPr>
        <sz val="11"/>
        <color rgb="FF188038"/>
        <rFont val="Courier New"/>
        <family val="3"/>
      </rPr>
      <t>E103</t>
    </r>
  </si>
  <si>
    <r>
      <t xml:space="preserve">In cell </t>
    </r>
    <r>
      <rPr>
        <sz val="11"/>
        <color rgb="FF188038"/>
        <rFont val="Courier New"/>
        <family val="3"/>
      </rPr>
      <t>B8</t>
    </r>
    <r>
      <rPr>
        <sz val="11"/>
        <color rgb="FF000000"/>
        <rFont val="Arial"/>
        <family val="2"/>
      </rPr>
      <t xml:space="preserve">, enter the formula: </t>
    </r>
    <r>
      <rPr>
        <sz val="11"/>
        <color rgb="FF188038"/>
        <rFont val="Courier New"/>
        <family val="3"/>
      </rPr>
      <t>=VLOOKUP(B7, A2:D5, 3, FALSE)</t>
    </r>
  </si>
  <si>
    <t>Breakdown:</t>
  </si>
  <si>
    <r>
      <t>B7</t>
    </r>
    <r>
      <rPr>
        <sz val="11"/>
        <color rgb="FF000000"/>
        <rFont val="Arial"/>
        <family val="2"/>
      </rPr>
      <t xml:space="preserve"> is the value we're searching for.</t>
    </r>
  </si>
  <si>
    <r>
      <t>A2:D5</t>
    </r>
    <r>
      <rPr>
        <sz val="11"/>
        <color rgb="FF000000"/>
        <rFont val="Arial"/>
        <family val="2"/>
      </rPr>
      <t xml:space="preserve"> is the table where we're searching.</t>
    </r>
  </si>
  <si>
    <r>
      <t>3</t>
    </r>
    <r>
      <rPr>
        <sz val="11"/>
        <color rgb="FF000000"/>
        <rFont val="Arial"/>
        <family val="2"/>
      </rPr>
      <t xml:space="preserve"> is the column number in the table that contains the Department.</t>
    </r>
  </si>
  <si>
    <r>
      <t>FALSE</t>
    </r>
    <r>
      <rPr>
        <sz val="11"/>
        <color rgb="FF000000"/>
        <rFont val="Arial"/>
        <family val="2"/>
      </rPr>
      <t xml:space="preserve"> means we want an exact match.</t>
    </r>
  </si>
  <si>
    <t>Press Enter. The result should be "IT".</t>
  </si>
  <si>
    <t>4. Practice Exercise:</t>
  </si>
  <si>
    <r>
      <t xml:space="preserve">In cell </t>
    </r>
    <r>
      <rPr>
        <sz val="11"/>
        <color rgb="FF188038"/>
        <rFont val="Courier New"/>
        <family val="3"/>
      </rPr>
      <t>B10</t>
    </r>
    <r>
      <rPr>
        <sz val="11"/>
        <color rgb="FF000000"/>
        <rFont val="Arial"/>
        <family val="2"/>
      </rPr>
      <t>, ask: "What is the salary for Ben Smith (E102)?"</t>
    </r>
  </si>
  <si>
    <r>
      <t xml:space="preserve">In cell </t>
    </r>
    <r>
      <rPr>
        <sz val="11"/>
        <color rgb="FF188038"/>
        <rFont val="Courier New"/>
        <family val="3"/>
      </rPr>
      <t>B11</t>
    </r>
    <r>
      <rPr>
        <sz val="11"/>
        <color rgb="FF000000"/>
        <rFont val="Arial"/>
        <family val="2"/>
      </rPr>
      <t>, write a VLOOKUP formula to find the answer.</t>
    </r>
  </si>
  <si>
    <t>(Hint: You will need to change the column index number.)</t>
  </si>
  <si>
    <t>Month</t>
  </si>
  <si>
    <t>Jan</t>
  </si>
  <si>
    <t>Feb</t>
  </si>
  <si>
    <t>Mar</t>
  </si>
  <si>
    <t>Apr</t>
  </si>
  <si>
    <t>Laptops</t>
  </si>
  <si>
    <t>Smartphones</t>
  </si>
  <si>
    <t>Tablets</t>
  </si>
  <si>
    <t>HLOOKUP</t>
  </si>
  <si>
    <t>HLOOKUP (Horizontal Lookup) searches for a value in the first row of a table and returns a value in the same column from a row you specify. It is useful for data organized horizontally by time periods, quarters, or other column-based categories.</t>
  </si>
  <si>
    <t>Enter this data starting in cell A1. This dataset shows a company's monthly sales figures for different products.</t>
  </si>
  <si>
    <r>
      <t xml:space="preserve">Let's find the sales figure for </t>
    </r>
    <r>
      <rPr>
        <b/>
        <sz val="11"/>
        <color rgb="FF000000"/>
        <rFont val="Arial"/>
        <family val="2"/>
      </rPr>
      <t>Smartphones</t>
    </r>
    <r>
      <rPr>
        <sz val="11"/>
        <color rgb="FF000000"/>
        <rFont val="Arial"/>
        <family val="2"/>
      </rPr>
      <t xml:space="preserve"> in the month of </t>
    </r>
    <r>
      <rPr>
        <b/>
        <sz val="11"/>
        <color rgb="FF000000"/>
        <rFont val="Arial"/>
        <family val="2"/>
      </rPr>
      <t>March</t>
    </r>
    <r>
      <rPr>
        <sz val="11"/>
        <color rgb="FF000000"/>
        <rFont val="Arial"/>
        <family val="2"/>
      </rPr>
      <t>.</t>
    </r>
  </si>
  <si>
    <r>
      <t xml:space="preserve">In cell </t>
    </r>
    <r>
      <rPr>
        <sz val="11"/>
        <color rgb="FF188038"/>
        <rFont val="Courier New"/>
        <family val="3"/>
      </rPr>
      <t>A6</t>
    </r>
    <r>
      <rPr>
        <sz val="11"/>
        <color rgb="FF000000"/>
        <rFont val="Arial"/>
        <family val="2"/>
      </rPr>
      <t xml:space="preserve">, type the row to look in: </t>
    </r>
    <r>
      <rPr>
        <sz val="11"/>
        <color rgb="FF188038"/>
        <rFont val="Courier New"/>
        <family val="3"/>
      </rPr>
      <t>Smartphones</t>
    </r>
  </si>
  <si>
    <r>
      <t xml:space="preserve">In cell </t>
    </r>
    <r>
      <rPr>
        <sz val="11"/>
        <color rgb="FF188038"/>
        <rFont val="Courier New"/>
        <family val="3"/>
      </rPr>
      <t>A7</t>
    </r>
    <r>
      <rPr>
        <sz val="11"/>
        <color rgb="FF000000"/>
        <rFont val="Arial"/>
        <family val="2"/>
      </rPr>
      <t xml:space="preserve">, type the column to find: </t>
    </r>
    <r>
      <rPr>
        <sz val="11"/>
        <color rgb="FF188038"/>
        <rFont val="Courier New"/>
        <family val="3"/>
      </rPr>
      <t>Mar</t>
    </r>
  </si>
  <si>
    <r>
      <t xml:space="preserve">In cell </t>
    </r>
    <r>
      <rPr>
        <sz val="11"/>
        <color rgb="FF188038"/>
        <rFont val="Courier New"/>
        <family val="3"/>
      </rPr>
      <t>A8</t>
    </r>
    <r>
      <rPr>
        <sz val="11"/>
        <color rgb="FF000000"/>
        <rFont val="Arial"/>
        <family val="2"/>
      </rPr>
      <t>, enter the formula:</t>
    </r>
  </si>
  <si>
    <r>
      <t>A7</t>
    </r>
    <r>
      <rPr>
        <sz val="11"/>
        <color rgb="FF000000"/>
        <rFont val="Arial"/>
        <family val="2"/>
      </rPr>
      <t xml:space="preserve"> is the value we are searching for (</t>
    </r>
    <r>
      <rPr>
        <sz val="11"/>
        <color rgb="FF188038"/>
        <rFont val="Courier New"/>
        <family val="3"/>
      </rPr>
      <t>"Mar"</t>
    </r>
    <r>
      <rPr>
        <sz val="11"/>
        <color rgb="FF000000"/>
        <rFont val="Arial"/>
        <family val="2"/>
      </rPr>
      <t>).</t>
    </r>
  </si>
  <si>
    <r>
      <t>B1:E4</t>
    </r>
    <r>
      <rPr>
        <sz val="11"/>
        <color rgb="FF000000"/>
        <rFont val="Arial"/>
        <family val="2"/>
      </rPr>
      <t xml:space="preserve"> is the table array where the first row contains the lookup value.</t>
    </r>
  </si>
  <si>
    <r>
      <t>3</t>
    </r>
    <r>
      <rPr>
        <sz val="11"/>
        <color rgb="FF000000"/>
        <rFont val="Arial"/>
        <family val="2"/>
      </rPr>
      <t xml:space="preserve"> is the </t>
    </r>
    <r>
      <rPr>
        <b/>
        <sz val="11"/>
        <color rgb="FF000000"/>
        <rFont val="Arial"/>
        <family val="2"/>
      </rPr>
      <t>row index number</t>
    </r>
    <r>
      <rPr>
        <sz val="11"/>
        <color rgb="FF000000"/>
        <rFont val="Arial"/>
        <family val="2"/>
      </rPr>
      <t>. We want the value from the 3rd row of the table (</t>
    </r>
    <r>
      <rPr>
        <sz val="11"/>
        <color rgb="FF188038"/>
        <rFont val="Courier New"/>
        <family val="3"/>
      </rPr>
      <t>Smartphones</t>
    </r>
    <r>
      <rPr>
        <sz val="11"/>
        <color rgb="FF000000"/>
        <rFont val="Arial"/>
        <family val="2"/>
      </rPr>
      <t>), counting from the first row of the array (</t>
    </r>
    <r>
      <rPr>
        <sz val="11"/>
        <color rgb="FF188038"/>
        <rFont val="Courier New"/>
        <family val="3"/>
      </rPr>
      <t>Month</t>
    </r>
    <r>
      <rPr>
        <sz val="11"/>
        <color rgb="FF000000"/>
        <rFont val="Arial"/>
        <family val="2"/>
      </rPr>
      <t xml:space="preserve"> = Row 1, </t>
    </r>
    <r>
      <rPr>
        <sz val="11"/>
        <color rgb="FF188038"/>
        <rFont val="Courier New"/>
        <family val="3"/>
      </rPr>
      <t>Laptops</t>
    </r>
    <r>
      <rPr>
        <sz val="11"/>
        <color rgb="FF000000"/>
        <rFont val="Arial"/>
        <family val="2"/>
      </rPr>
      <t xml:space="preserve"> = Row 2, </t>
    </r>
    <r>
      <rPr>
        <sz val="11"/>
        <color rgb="FF188038"/>
        <rFont val="Courier New"/>
        <family val="3"/>
      </rPr>
      <t>Smartphones</t>
    </r>
    <r>
      <rPr>
        <sz val="11"/>
        <color rgb="FF000000"/>
        <rFont val="Arial"/>
        <family val="2"/>
      </rPr>
      <t xml:space="preserve"> = Row 3).</t>
    </r>
  </si>
  <si>
    <r>
      <t>FALSE</t>
    </r>
    <r>
      <rPr>
        <sz val="11"/>
        <color rgb="FF000000"/>
        <rFont val="Arial"/>
        <family val="2"/>
      </rPr>
      <t xml:space="preserve"> specifies we want an exact match.</t>
    </r>
  </si>
  <si>
    <r>
      <t xml:space="preserve">Press </t>
    </r>
    <r>
      <rPr>
        <b/>
        <sz val="11"/>
        <color rgb="FF000000"/>
        <rFont val="Arial"/>
        <family val="2"/>
      </rPr>
      <t>Enter</t>
    </r>
    <r>
      <rPr>
        <sz val="11"/>
        <color rgb="FF000000"/>
        <rFont val="Arial"/>
        <family val="2"/>
      </rPr>
      <t xml:space="preserve">. The result should be </t>
    </r>
    <r>
      <rPr>
        <b/>
        <sz val="11"/>
        <color rgb="FF000000"/>
        <rFont val="Arial"/>
        <family val="2"/>
      </rPr>
      <t>$13,200</t>
    </r>
    <r>
      <rPr>
        <sz val="11"/>
        <color rgb="FF000000"/>
        <rFont val="Arial"/>
        <family val="2"/>
      </rPr>
      <t>.</t>
    </r>
  </si>
  <si>
    <r>
      <t>Question:</t>
    </r>
    <r>
      <rPr>
        <sz val="11"/>
        <color rgb="FF000000"/>
        <rFont val="Arial"/>
        <family val="2"/>
      </rPr>
      <t xml:space="preserve"> What were the sales of </t>
    </r>
    <r>
      <rPr>
        <b/>
        <sz val="11"/>
        <color rgb="FF000000"/>
        <rFont val="Arial"/>
        <family val="2"/>
      </rPr>
      <t>Tablets</t>
    </r>
    <r>
      <rPr>
        <sz val="11"/>
        <color rgb="FF000000"/>
        <rFont val="Arial"/>
        <family val="2"/>
      </rPr>
      <t xml:space="preserve"> in </t>
    </r>
    <r>
      <rPr>
        <b/>
        <sz val="11"/>
        <color rgb="FF000000"/>
        <rFont val="Arial"/>
        <family val="2"/>
      </rPr>
      <t>January</t>
    </r>
    <r>
      <rPr>
        <sz val="11"/>
        <color rgb="FF000000"/>
        <rFont val="Arial"/>
        <family val="2"/>
      </rPr>
      <t>?</t>
    </r>
  </si>
  <si>
    <r>
      <t xml:space="preserve">In cell </t>
    </r>
    <r>
      <rPr>
        <sz val="11"/>
        <color rgb="FF188038"/>
        <rFont val="Courier New"/>
        <family val="3"/>
      </rPr>
      <t>A10</t>
    </r>
    <r>
      <rPr>
        <sz val="11"/>
        <color rgb="FF000000"/>
        <rFont val="Arial"/>
        <family val="2"/>
      </rPr>
      <t>, write your own HLOOKUP formula to find the answer.</t>
    </r>
  </si>
  <si>
    <r>
      <t>Hint:</t>
    </r>
    <r>
      <rPr>
        <sz val="11"/>
        <color rgb="FF000000"/>
        <rFont val="Arial"/>
        <family val="2"/>
      </rPr>
      <t xml:space="preserve"> You will need to find "Jan" in the first row and return the value from the 4th row in the table array.</t>
    </r>
  </si>
  <si>
    <t>Product Code</t>
  </si>
  <si>
    <t>Product Name</t>
  </si>
  <si>
    <t>Price</t>
  </si>
  <si>
    <t>In Stock?</t>
  </si>
  <si>
    <t>P-881</t>
  </si>
  <si>
    <t>Wireless Mouse</t>
  </si>
  <si>
    <t>Yes</t>
  </si>
  <si>
    <t>P-882</t>
  </si>
  <si>
    <t>Mechanical Keyboard</t>
  </si>
  <si>
    <t>No</t>
  </si>
  <si>
    <t>P-883</t>
  </si>
  <si>
    <t>HD Webcam</t>
  </si>
  <si>
    <t>XLOOKUP</t>
  </si>
  <si>
    <t>XLOOKUP is the modern, more powerful replacement for VLOOKUP and HLOOKUP. It can search in any direction, return multiple values, and has simpler syntax.</t>
  </si>
  <si>
    <t>Let's find the Price of the "Mechanical Keyboard".</t>
  </si>
  <si>
    <r>
      <t xml:space="preserve">In cell </t>
    </r>
    <r>
      <rPr>
        <sz val="11"/>
        <color rgb="FF188038"/>
        <rFont val="Courier New"/>
        <family val="3"/>
      </rPr>
      <t>B7</t>
    </r>
    <r>
      <rPr>
        <sz val="11"/>
        <color rgb="FF000000"/>
        <rFont val="Arial"/>
        <family val="2"/>
      </rPr>
      <t xml:space="preserve">, type: </t>
    </r>
    <r>
      <rPr>
        <sz val="11"/>
        <color rgb="FF188038"/>
        <rFont val="Courier New"/>
        <family val="3"/>
      </rPr>
      <t>Mechanical Keyboard</t>
    </r>
  </si>
  <si>
    <r>
      <t xml:space="preserve">In cell </t>
    </r>
    <r>
      <rPr>
        <sz val="11"/>
        <color rgb="FF188038"/>
        <rFont val="Courier New"/>
        <family val="3"/>
      </rPr>
      <t>B8</t>
    </r>
    <r>
      <rPr>
        <sz val="11"/>
        <color rgb="FF000000"/>
        <rFont val="Arial"/>
        <family val="2"/>
      </rPr>
      <t xml:space="preserve">, enter the formula: </t>
    </r>
    <r>
      <rPr>
        <sz val="11"/>
        <color rgb="FF188038"/>
        <rFont val="Courier New"/>
        <family val="3"/>
      </rPr>
      <t>=XLOOKUP(B7, B2:B4, C2:C4)</t>
    </r>
  </si>
  <si>
    <r>
      <t>B7</t>
    </r>
    <r>
      <rPr>
        <sz val="11"/>
        <color rgb="FF000000"/>
        <rFont val="Arial"/>
        <family val="2"/>
      </rPr>
      <t xml:space="preserve"> is the value we're looking for.</t>
    </r>
  </si>
  <si>
    <r>
      <t>B2:B4</t>
    </r>
    <r>
      <rPr>
        <sz val="11"/>
        <color rgb="FF000000"/>
        <rFont val="Arial"/>
        <family val="2"/>
      </rPr>
      <t xml:space="preserve"> is the range to look in (Product Name).</t>
    </r>
  </si>
  <si>
    <r>
      <t>C2:C4</t>
    </r>
    <r>
      <rPr>
        <sz val="11"/>
        <color rgb="FF000000"/>
        <rFont val="Arial"/>
        <family val="2"/>
      </rPr>
      <t xml:space="preserve"> is the range to return values from (Price).</t>
    </r>
  </si>
  <si>
    <r>
      <t xml:space="preserve">Press Enter. The result should be </t>
    </r>
    <r>
      <rPr>
        <sz val="11"/>
        <color rgb="FF188038"/>
        <rFont val="Courier New"/>
        <family val="3"/>
      </rPr>
      <t>$89.99</t>
    </r>
    <r>
      <rPr>
        <sz val="11"/>
        <color rgb="FF000000"/>
        <rFont val="Arial"/>
        <family val="2"/>
      </rPr>
      <t xml:space="preserve">. Notice no need for column numbers or </t>
    </r>
    <r>
      <rPr>
        <sz val="11"/>
        <color rgb="FF188038"/>
        <rFont val="Courier New"/>
        <family val="3"/>
      </rPr>
      <t>FALSE</t>
    </r>
    <r>
      <rPr>
        <sz val="11"/>
        <color rgb="FF000000"/>
        <rFont val="Arial"/>
        <family val="2"/>
      </rPr>
      <t>!</t>
    </r>
  </si>
  <si>
    <r>
      <t xml:space="preserve">In cell </t>
    </r>
    <r>
      <rPr>
        <sz val="11"/>
        <color rgb="FF188038"/>
        <rFont val="Courier New"/>
        <family val="3"/>
      </rPr>
      <t>B10</t>
    </r>
    <r>
      <rPr>
        <sz val="11"/>
        <color rgb="FF000000"/>
        <rFont val="Arial"/>
        <family val="2"/>
      </rPr>
      <t>, ask: "Is product P-883 in stock?"</t>
    </r>
  </si>
  <si>
    <r>
      <t xml:space="preserve">In cell </t>
    </r>
    <r>
      <rPr>
        <sz val="11"/>
        <color rgb="FF188038"/>
        <rFont val="Courier New"/>
        <family val="3"/>
      </rPr>
      <t>B11</t>
    </r>
    <r>
      <rPr>
        <sz val="11"/>
        <color rgb="FF000000"/>
        <rFont val="Arial"/>
        <family val="2"/>
      </rPr>
      <t>, write an XLOOKUP formula to find the answer "Yes" or "No".</t>
    </r>
  </si>
  <si>
    <t>Region</t>
  </si>
  <si>
    <t>Salesperson</t>
  </si>
  <si>
    <t>Sales Amount</t>
  </si>
  <si>
    <t>North</t>
  </si>
  <si>
    <t>Sarah</t>
  </si>
  <si>
    <t>South</t>
  </si>
  <si>
    <t>Mike</t>
  </si>
  <si>
    <t>East</t>
  </si>
  <si>
    <t>John</t>
  </si>
  <si>
    <t>SUMIFS, COUNTIFS, AVERAGEIFS</t>
  </si>
  <si>
    <t>These functions calculate a sum, count, or average based on one or multiple conditions.</t>
  </si>
  <si>
    <r>
      <t>SUMIFS:</t>
    </r>
    <r>
      <rPr>
        <sz val="11"/>
        <color rgb="FF000000"/>
        <rFont val="Arial"/>
        <family val="2"/>
      </rPr>
      <t xml:space="preserve"> Adds cells that meet multiple criteria.</t>
    </r>
  </si>
  <si>
    <r>
      <t>COUNTIFS:</t>
    </r>
    <r>
      <rPr>
        <sz val="11"/>
        <color rgb="FF000000"/>
        <rFont val="Arial"/>
        <family val="2"/>
      </rPr>
      <t xml:space="preserve"> Counts cells that meet multiple criteria.</t>
    </r>
  </si>
  <si>
    <r>
      <t>AVERAGEIFS:</t>
    </r>
    <r>
      <rPr>
        <sz val="11"/>
        <color rgb="FF000000"/>
        <rFont val="Arial"/>
        <family val="2"/>
      </rPr>
      <t xml:space="preserve"> Averages cells that meet multiple criteria.</t>
    </r>
  </si>
  <si>
    <r>
      <t>SUMIFS:</t>
    </r>
    <r>
      <rPr>
        <sz val="11"/>
        <color rgb="FF000000"/>
        <rFont val="Arial"/>
        <family val="2"/>
      </rPr>
      <t xml:space="preserve"> What are the total sales for Sarah in the North?</t>
    </r>
  </si>
  <si>
    <r>
      <t xml:space="preserve">Formula in </t>
    </r>
    <r>
      <rPr>
        <sz val="11"/>
        <color rgb="FF188038"/>
        <rFont val="Courier New"/>
        <family val="3"/>
      </rPr>
      <t>B8</t>
    </r>
    <r>
      <rPr>
        <sz val="11"/>
        <color rgb="FF000000"/>
        <rFont val="Arial"/>
        <family val="2"/>
      </rPr>
      <t xml:space="preserve">: </t>
    </r>
    <r>
      <rPr>
        <sz val="11"/>
        <color rgb="FF188038"/>
        <rFont val="Courier New"/>
        <family val="3"/>
      </rPr>
      <t>=SUMIFS(C2:C6, A2:A6, "North", B2:B6, "Sarah")</t>
    </r>
  </si>
  <si>
    <r>
      <t xml:space="preserve">Result: </t>
    </r>
    <r>
      <rPr>
        <sz val="11"/>
        <color rgb="FF188038"/>
        <rFont val="Courier New"/>
        <family val="3"/>
      </rPr>
      <t>$33,000</t>
    </r>
  </si>
  <si>
    <r>
      <t>COUNTIFS:</t>
    </r>
    <r>
      <rPr>
        <sz val="11"/>
        <color rgb="FF000000"/>
        <rFont val="Arial"/>
        <family val="2"/>
      </rPr>
      <t xml:space="preserve"> How many sales did Mike make in the South?</t>
    </r>
  </si>
  <si>
    <r>
      <t xml:space="preserve">Formula in </t>
    </r>
    <r>
      <rPr>
        <sz val="11"/>
        <color rgb="FF188038"/>
        <rFont val="Courier New"/>
        <family val="3"/>
      </rPr>
      <t>B9</t>
    </r>
    <r>
      <rPr>
        <sz val="11"/>
        <color rgb="FF000000"/>
        <rFont val="Arial"/>
        <family val="2"/>
      </rPr>
      <t xml:space="preserve">: </t>
    </r>
    <r>
      <rPr>
        <sz val="11"/>
        <color rgb="FF188038"/>
        <rFont val="Courier New"/>
        <family val="3"/>
      </rPr>
      <t>=COUNTIFS(B2:B6, "Mike", A2:A6, "South")</t>
    </r>
  </si>
  <si>
    <r>
      <t xml:space="preserve">Result: </t>
    </r>
    <r>
      <rPr>
        <sz val="11"/>
        <color rgb="FF188038"/>
        <rFont val="Courier New"/>
        <family val="3"/>
      </rPr>
      <t>1</t>
    </r>
  </si>
  <si>
    <r>
      <t>AVERAGEIFS:</t>
    </r>
    <r>
      <rPr>
        <sz val="11"/>
        <color rgb="FF000000"/>
        <rFont val="Arial"/>
        <family val="2"/>
      </rPr>
      <t xml:space="preserve"> What is the average sales amount for the North region?</t>
    </r>
  </si>
  <si>
    <r>
      <t xml:space="preserve">Formula in </t>
    </r>
    <r>
      <rPr>
        <sz val="11"/>
        <color rgb="FF188038"/>
        <rFont val="Courier New"/>
        <family val="3"/>
      </rPr>
      <t>B10</t>
    </r>
    <r>
      <rPr>
        <sz val="11"/>
        <color rgb="FF000000"/>
        <rFont val="Arial"/>
        <family val="2"/>
      </rPr>
      <t xml:space="preserve">: </t>
    </r>
    <r>
      <rPr>
        <sz val="11"/>
        <color rgb="FF188038"/>
        <rFont val="Courier New"/>
        <family val="3"/>
      </rPr>
      <t>=AVERAGEIFS(C2:C6, A2:A6, "North")</t>
    </r>
  </si>
  <si>
    <r>
      <t xml:space="preserve">Result: </t>
    </r>
    <r>
      <rPr>
        <sz val="11"/>
        <color rgb="FF188038"/>
        <rFont val="Courier New"/>
        <family val="3"/>
      </rPr>
      <t>$15,667</t>
    </r>
  </si>
  <si>
    <r>
      <t xml:space="preserve">In cell </t>
    </r>
    <r>
      <rPr>
        <sz val="11"/>
        <color rgb="FF188038"/>
        <rFont val="Courier New"/>
        <family val="3"/>
      </rPr>
      <t>B12</t>
    </r>
    <r>
      <rPr>
        <sz val="11"/>
        <color rgb="FF000000"/>
        <rFont val="Arial"/>
        <family val="2"/>
      </rPr>
      <t>, ask: "What is the total sales amount for all regions except the East?"</t>
    </r>
  </si>
  <si>
    <r>
      <t xml:space="preserve">In cell </t>
    </r>
    <r>
      <rPr>
        <sz val="11"/>
        <color rgb="FF188038"/>
        <rFont val="Courier New"/>
        <family val="3"/>
      </rPr>
      <t>B13</t>
    </r>
    <r>
      <rPr>
        <sz val="11"/>
        <color rgb="FF000000"/>
        <rFont val="Arial"/>
        <family val="2"/>
      </rPr>
      <t>, write a SUMIFS formula to calculate it.</t>
    </r>
  </si>
  <si>
    <r>
      <t xml:space="preserve">(Hint: Use </t>
    </r>
    <r>
      <rPr>
        <i/>
        <sz val="11"/>
        <color rgb="FF188038"/>
        <rFont val="Courier New"/>
        <family val="3"/>
      </rPr>
      <t>"&lt;&gt;East"</t>
    </r>
    <r>
      <rPr>
        <i/>
        <sz val="11"/>
        <color rgb="FF000000"/>
        <rFont val="Arial"/>
        <family val="2"/>
      </rPr>
      <t xml:space="preserve"> as the criterion.)</t>
    </r>
  </si>
  <si>
    <t>Student Name</t>
  </si>
  <si>
    <t>Test Score</t>
  </si>
  <si>
    <t>Emma</t>
  </si>
  <si>
    <t>Liam</t>
  </si>
  <si>
    <t>Olivia</t>
  </si>
  <si>
    <t>Noah</t>
  </si>
  <si>
    <t>IFS</t>
  </si>
  <si>
    <t>The IFS function checks multiple conditions and returns a value corresponding to the first TRUE condition. It's a cleaner alternative to nested IF statements.</t>
  </si>
  <si>
    <t>Let's assign a letter grade based on the score.</t>
  </si>
  <si>
    <r>
      <t xml:space="preserve">In cell </t>
    </r>
    <r>
      <rPr>
        <sz val="11"/>
        <color rgb="FF188038"/>
        <rFont val="Courier New"/>
        <family val="3"/>
      </rPr>
      <t>C2</t>
    </r>
    <r>
      <rPr>
        <sz val="11"/>
        <color rgb="FF000000"/>
        <rFont val="Arial"/>
        <family val="2"/>
      </rPr>
      <t>, enter the formula:</t>
    </r>
  </si>
  <si>
    <r>
      <t>Breakdown:</t>
    </r>
    <r>
      <rPr>
        <sz val="11"/>
        <color rgb="FF000000"/>
        <rFont val="Arial"/>
        <family val="2"/>
      </rPr>
      <t xml:space="preserve"> The function checks each condition in order. The first one that is TRUE returns its corresponding result.</t>
    </r>
  </si>
  <si>
    <r>
      <t xml:space="preserve">Drag the formula down from </t>
    </r>
    <r>
      <rPr>
        <sz val="11"/>
        <color rgb="FF188038"/>
        <rFont val="Courier New"/>
        <family val="3"/>
      </rPr>
      <t>C2</t>
    </r>
    <r>
      <rPr>
        <sz val="11"/>
        <color rgb="FF000000"/>
        <rFont val="Arial"/>
        <family val="2"/>
      </rPr>
      <t xml:space="preserve"> to </t>
    </r>
    <r>
      <rPr>
        <sz val="11"/>
        <color rgb="FF188038"/>
        <rFont val="Courier New"/>
        <family val="3"/>
      </rPr>
      <t>C5</t>
    </r>
    <r>
      <rPr>
        <sz val="11"/>
        <color rgb="FF000000"/>
        <rFont val="Arial"/>
        <family val="2"/>
      </rPr>
      <t>. Emma gets an "A", Liam gets a "C", etc.</t>
    </r>
  </si>
  <si>
    <t>Add a new column called "Pass/Fail".</t>
  </si>
  <si>
    <r>
      <t xml:space="preserve">In cell </t>
    </r>
    <r>
      <rPr>
        <sz val="11"/>
        <color rgb="FF188038"/>
        <rFont val="Courier New"/>
        <family val="3"/>
      </rPr>
      <t>D2</t>
    </r>
    <r>
      <rPr>
        <sz val="11"/>
        <color rgb="FF000000"/>
        <rFont val="Arial"/>
        <family val="2"/>
      </rPr>
      <t>, write an IFS formula to return "Pass" if the score is 70 or above, and "Fail" if it is below 70.</t>
    </r>
  </si>
  <si>
    <t>Drag the formula down.</t>
  </si>
  <si>
    <t>City</t>
  </si>
  <si>
    <t>Population</t>
  </si>
  <si>
    <t>Country</t>
  </si>
  <si>
    <t>Toronto</t>
  </si>
  <si>
    <t>Canada</t>
  </si>
  <si>
    <t>New York</t>
  </si>
  <si>
    <t>USA</t>
  </si>
  <si>
    <t>London</t>
  </si>
  <si>
    <t>UK</t>
  </si>
  <si>
    <t>Sydney</t>
  </si>
  <si>
    <t>Australia</t>
  </si>
  <si>
    <t>INDEX + MATCH</t>
  </si>
  <si>
    <r>
      <t xml:space="preserve">This powerful combination is a flexible alternative to VLOOKUP. </t>
    </r>
    <r>
      <rPr>
        <sz val="11"/>
        <color rgb="FF188038"/>
        <rFont val="Courier New"/>
        <family val="3"/>
      </rPr>
      <t>MATCH</t>
    </r>
    <r>
      <rPr>
        <sz val="11"/>
        <color rgb="FF000000"/>
        <rFont val="Arial"/>
        <family val="2"/>
      </rPr>
      <t xml:space="preserve"> finds the position of a value, and </t>
    </r>
    <r>
      <rPr>
        <sz val="11"/>
        <color rgb="FF188038"/>
        <rFont val="Courier New"/>
        <family val="3"/>
      </rPr>
      <t>INDEX</t>
    </r>
    <r>
      <rPr>
        <sz val="11"/>
        <color rgb="FF000000"/>
        <rFont val="Arial"/>
        <family val="2"/>
      </rPr>
      <t xml:space="preserve"> returns the value at a given position in a range.</t>
    </r>
  </si>
  <si>
    <t>Let's find the country for "Sydney".</t>
  </si>
  <si>
    <r>
      <t xml:space="preserve">In cell </t>
    </r>
    <r>
      <rPr>
        <sz val="11"/>
        <color rgb="FF188038"/>
        <rFont val="Courier New"/>
        <family val="3"/>
      </rPr>
      <t>B7</t>
    </r>
    <r>
      <rPr>
        <sz val="11"/>
        <color rgb="FF000000"/>
        <rFont val="Arial"/>
        <family val="2"/>
      </rPr>
      <t xml:space="preserve">, type: </t>
    </r>
    <r>
      <rPr>
        <sz val="11"/>
        <color rgb="FF188038"/>
        <rFont val="Courier New"/>
        <family val="3"/>
      </rPr>
      <t>Sydney</t>
    </r>
  </si>
  <si>
    <r>
      <t xml:space="preserve">In cell </t>
    </r>
    <r>
      <rPr>
        <sz val="11"/>
        <color rgb="FF188038"/>
        <rFont val="Courier New"/>
        <family val="3"/>
      </rPr>
      <t>B8</t>
    </r>
    <r>
      <rPr>
        <sz val="11"/>
        <color rgb="FF000000"/>
        <rFont val="Arial"/>
        <family val="2"/>
      </rPr>
      <t xml:space="preserve">, enter the formula: </t>
    </r>
    <r>
      <rPr>
        <sz val="11"/>
        <color rgb="FF188038"/>
        <rFont val="Courier New"/>
        <family val="3"/>
      </rPr>
      <t>=INDEX(C2:C5, MATCH(B7, A2:A5, 0))</t>
    </r>
  </si>
  <si>
    <r>
      <t>MATCH(B7, A2:A5, 0)</t>
    </r>
    <r>
      <rPr>
        <sz val="11"/>
        <color rgb="FF000000"/>
        <rFont val="Arial"/>
        <family val="2"/>
      </rPr>
      <t xml:space="preserve"> finds the row number where "Sydney" appears in the City list (row 4).</t>
    </r>
  </si>
  <si>
    <r>
      <t>INDEX(C2:C5, ...)</t>
    </r>
    <r>
      <rPr>
        <sz val="11"/>
        <color rgb="FF000000"/>
        <rFont val="Arial"/>
        <family val="2"/>
      </rPr>
      <t xml:space="preserve"> then returns the value from the 4th row of the Country list.</t>
    </r>
  </si>
  <si>
    <r>
      <t xml:space="preserve">Result: </t>
    </r>
    <r>
      <rPr>
        <sz val="11"/>
        <color rgb="FF188038"/>
        <rFont val="Courier New"/>
        <family val="3"/>
      </rPr>
      <t>Australia</t>
    </r>
  </si>
  <si>
    <r>
      <t xml:space="preserve">In cell </t>
    </r>
    <r>
      <rPr>
        <sz val="11"/>
        <color rgb="FF188038"/>
        <rFont val="Courier New"/>
        <family val="3"/>
      </rPr>
      <t>B10</t>
    </r>
    <r>
      <rPr>
        <sz val="11"/>
        <color rgb="FF000000"/>
        <rFont val="Arial"/>
        <family val="2"/>
      </rPr>
      <t>, ask: "What is the population of London?"</t>
    </r>
  </si>
  <si>
    <r>
      <t xml:space="preserve">In cell </t>
    </r>
    <r>
      <rPr>
        <sz val="11"/>
        <color rgb="FF188038"/>
        <rFont val="Courier New"/>
        <family val="3"/>
      </rPr>
      <t>B11</t>
    </r>
    <r>
      <rPr>
        <sz val="11"/>
        <color rgb="FF000000"/>
        <rFont val="Arial"/>
        <family val="2"/>
      </rPr>
      <t>, use INDEX and MATCH to find the answer.</t>
    </r>
  </si>
  <si>
    <t>Item Code</t>
  </si>
  <si>
    <t>Item Name</t>
  </si>
  <si>
    <t>A-10</t>
  </si>
  <si>
    <t>Notebook</t>
  </si>
  <si>
    <t>A-11</t>
  </si>
  <si>
    <t>Pen</t>
  </si>
  <si>
    <t>A-12</t>
  </si>
  <si>
    <t>Stapler</t>
  </si>
  <si>
    <t> IFERROR &amp; IFNA</t>
  </si>
  <si>
    <t>These functions catch errors and replace them with a friendly message or value.</t>
  </si>
  <si>
    <r>
      <t>IFERROR:</t>
    </r>
    <r>
      <rPr>
        <sz val="11"/>
        <color rgb="FF000000"/>
        <rFont val="Arial"/>
        <family val="2"/>
      </rPr>
      <t xml:space="preserve"> Catches any error (e.g., #N/A, #VALUE!, #DIV/0!).</t>
    </r>
  </si>
  <si>
    <r>
      <t>IFNA:</t>
    </r>
    <r>
      <rPr>
        <sz val="11"/>
        <color rgb="FF000000"/>
        <rFont val="Arial"/>
        <family val="2"/>
      </rPr>
      <t xml:space="preserve"> Catches only the #N/A error, which is common with lookup functions.</t>
    </r>
  </si>
  <si>
    <t>Let's look for an item that doesn't exist.</t>
  </si>
  <si>
    <r>
      <t xml:space="preserve">In cell </t>
    </r>
    <r>
      <rPr>
        <sz val="11"/>
        <color rgb="FF188038"/>
        <rFont val="Courier New"/>
        <family val="3"/>
      </rPr>
      <t>B5</t>
    </r>
    <r>
      <rPr>
        <sz val="11"/>
        <color rgb="FF000000"/>
        <rFont val="Arial"/>
        <family val="2"/>
      </rPr>
      <t xml:space="preserve">, type: </t>
    </r>
    <r>
      <rPr>
        <sz val="11"/>
        <color rgb="FF188038"/>
        <rFont val="Courier New"/>
        <family val="3"/>
      </rPr>
      <t>A-13</t>
    </r>
  </si>
  <si>
    <r>
      <t xml:space="preserve">In cell </t>
    </r>
    <r>
      <rPr>
        <sz val="11"/>
        <color rgb="FF188038"/>
        <rFont val="Courier New"/>
        <family val="3"/>
      </rPr>
      <t>B6</t>
    </r>
    <r>
      <rPr>
        <sz val="11"/>
        <color rgb="FF000000"/>
        <rFont val="Arial"/>
        <family val="2"/>
      </rPr>
      <t xml:space="preserve">, enter a VLOOKUP that will fail: </t>
    </r>
    <r>
      <rPr>
        <sz val="11"/>
        <color rgb="FF188038"/>
        <rFont val="Courier New"/>
        <family val="3"/>
      </rPr>
      <t>=VLOOKUP(B5, A2:B4, 2, FALSE)</t>
    </r>
    <r>
      <rPr>
        <sz val="11"/>
        <color rgb="FF000000"/>
        <rFont val="Arial"/>
        <family val="2"/>
      </rPr>
      <t xml:space="preserve">. This returns </t>
    </r>
    <r>
      <rPr>
        <sz val="11"/>
        <color rgb="FF188038"/>
        <rFont val="Courier New"/>
        <family val="3"/>
      </rPr>
      <t>#N/A</t>
    </r>
    <r>
      <rPr>
        <sz val="11"/>
        <color rgb="FF000000"/>
        <rFont val="Arial"/>
        <family val="2"/>
      </rPr>
      <t>.</t>
    </r>
  </si>
  <si>
    <r>
      <t xml:space="preserve">Now, wrap it in </t>
    </r>
    <r>
      <rPr>
        <b/>
        <sz val="11"/>
        <color rgb="FF000000"/>
        <rFont val="Arial"/>
        <family val="2"/>
      </rPr>
      <t>IFERROR</t>
    </r>
    <r>
      <rPr>
        <sz val="11"/>
        <color rgb="FF000000"/>
        <rFont val="Arial"/>
        <family val="2"/>
      </rPr>
      <t>:</t>
    </r>
  </si>
  <si>
    <r>
      <t xml:space="preserve">Result: </t>
    </r>
    <r>
      <rPr>
        <sz val="11"/>
        <color rgb="FF188038"/>
        <rFont val="Courier New"/>
        <family val="3"/>
      </rPr>
      <t>Item Not Found</t>
    </r>
  </si>
  <si>
    <r>
      <t xml:space="preserve">You can also use </t>
    </r>
    <r>
      <rPr>
        <b/>
        <sz val="11"/>
        <color rgb="FF000000"/>
        <rFont val="Arial"/>
        <family val="2"/>
      </rPr>
      <t>IFNA</t>
    </r>
    <r>
      <rPr>
        <sz val="11"/>
        <color rgb="FF000000"/>
        <rFont val="Arial"/>
        <family val="2"/>
      </rPr>
      <t xml:space="preserve"> for a more specific catch:</t>
    </r>
  </si>
  <si>
    <r>
      <t xml:space="preserve">In cell </t>
    </r>
    <r>
      <rPr>
        <sz val="11"/>
        <color rgb="FF188038"/>
        <rFont val="Courier New"/>
        <family val="3"/>
      </rPr>
      <t>B8</t>
    </r>
    <r>
      <rPr>
        <sz val="11"/>
        <color rgb="FF000000"/>
        <rFont val="Arial"/>
        <family val="2"/>
      </rPr>
      <t>, try an XLOOKUP for "A-15".</t>
    </r>
  </si>
  <si>
    <t>Wrap the XLOOKUP in an IFNA function to display "Code Invalid".</t>
  </si>
  <si>
    <t>EmpID</t>
  </si>
  <si>
    <t>Name</t>
  </si>
  <si>
    <t>Alice Lee</t>
  </si>
  <si>
    <t>Bob Smith</t>
  </si>
  <si>
    <t>Carla Gomez</t>
  </si>
  <si>
    <t>David Chen</t>
  </si>
  <si>
    <t>Emma Davis</t>
  </si>
  <si>
    <t>Frank Wright</t>
  </si>
  <si>
    <t>Dept</t>
  </si>
  <si>
    <t>HR</t>
  </si>
  <si>
    <t>Finance</t>
  </si>
  <si>
    <t>Location</t>
  </si>
  <si>
    <t>Berlin</t>
  </si>
  <si>
    <t>Chicago</t>
  </si>
  <si>
    <t>Bonus %</t>
  </si>
  <si>
    <r>
      <t>1. Find the </t>
    </r>
    <r>
      <rPr>
        <b/>
        <sz val="14"/>
        <color rgb="FF2D3134"/>
        <rFont val="Arial"/>
        <family val="2"/>
      </rPr>
      <t>Name</t>
    </r>
    <r>
      <rPr>
        <sz val="14"/>
        <color rgb="FF2D3134"/>
        <rFont val="Arial"/>
        <family val="2"/>
      </rPr>
      <t> of EmpID </t>
    </r>
    <r>
      <rPr>
        <b/>
        <sz val="14"/>
        <color rgb="FF2D3134"/>
        <rFont val="Arial"/>
        <family val="2"/>
      </rPr>
      <t>104</t>
    </r>
    <r>
      <rPr>
        <sz val="14"/>
        <color rgb="FF2D3134"/>
        <rFont val="Arial"/>
        <family val="2"/>
      </rPr>
      <t>.</t>
    </r>
  </si>
  <si>
    <r>
      <t>2. Find the </t>
    </r>
    <r>
      <rPr>
        <b/>
        <sz val="14"/>
        <color rgb="FF2D3134"/>
        <rFont val="Arial"/>
        <family val="2"/>
      </rPr>
      <t>Department</t>
    </r>
    <r>
      <rPr>
        <sz val="14"/>
        <color rgb="FF2D3134"/>
        <rFont val="Arial"/>
        <family val="2"/>
      </rPr>
      <t> of EmpID </t>
    </r>
    <r>
      <rPr>
        <b/>
        <sz val="14"/>
        <color rgb="FF2D3134"/>
        <rFont val="Arial"/>
        <family val="2"/>
      </rPr>
      <t>103</t>
    </r>
    <r>
      <rPr>
        <sz val="14"/>
        <color rgb="FF2D3134"/>
        <rFont val="Arial"/>
        <family val="2"/>
      </rPr>
      <t>.</t>
    </r>
  </si>
  <si>
    <r>
      <t>3. Get the </t>
    </r>
    <r>
      <rPr>
        <b/>
        <sz val="14"/>
        <color rgb="FF2D3134"/>
        <rFont val="Arial"/>
        <family val="2"/>
      </rPr>
      <t>Salary</t>
    </r>
    <r>
      <rPr>
        <sz val="14"/>
        <color rgb="FF2D3134"/>
        <rFont val="Arial"/>
        <family val="2"/>
      </rPr>
      <t> of EmpID </t>
    </r>
    <r>
      <rPr>
        <b/>
        <sz val="14"/>
        <color rgb="FF2D3134"/>
        <rFont val="Arial"/>
        <family val="2"/>
      </rPr>
      <t>106</t>
    </r>
    <r>
      <rPr>
        <sz val="14"/>
        <color rgb="FF2D3134"/>
        <rFont val="Arial"/>
        <family val="2"/>
      </rPr>
      <t>.</t>
    </r>
  </si>
  <si>
    <r>
      <t>4. Which </t>
    </r>
    <r>
      <rPr>
        <b/>
        <sz val="14"/>
        <color rgb="FF2D3134"/>
        <rFont val="Arial"/>
        <family val="2"/>
      </rPr>
      <t>Location</t>
    </r>
    <r>
      <rPr>
        <sz val="14"/>
        <color rgb="FF2D3134"/>
        <rFont val="Arial"/>
        <family val="2"/>
      </rPr>
      <t> does EmpID </t>
    </r>
    <r>
      <rPr>
        <b/>
        <sz val="14"/>
        <color rgb="FF2D3134"/>
        <rFont val="Arial"/>
        <family val="2"/>
      </rPr>
      <t>102</t>
    </r>
    <r>
      <rPr>
        <sz val="14"/>
        <color rgb="FF2D3134"/>
        <rFont val="Arial"/>
        <family val="2"/>
      </rPr>
      <t> belong to?</t>
    </r>
  </si>
  <si>
    <r>
      <t>5. What is the </t>
    </r>
    <r>
      <rPr>
        <b/>
        <sz val="14"/>
        <color rgb="FF2D3134"/>
        <rFont val="Arial"/>
        <family val="2"/>
      </rPr>
      <t>Bonus %</t>
    </r>
    <r>
      <rPr>
        <sz val="14"/>
        <color rgb="FF2D3134"/>
        <rFont val="Arial"/>
        <family val="2"/>
      </rPr>
      <t> of EmpID </t>
    </r>
    <r>
      <rPr>
        <b/>
        <sz val="14"/>
        <color rgb="FF2D3134"/>
        <rFont val="Arial"/>
        <family val="2"/>
      </rPr>
      <t>101</t>
    </r>
    <r>
      <rPr>
        <sz val="14"/>
        <color rgb="FF2D3134"/>
        <rFont val="Arial"/>
        <family val="2"/>
      </rPr>
      <t>?</t>
    </r>
  </si>
  <si>
    <r>
      <t>6. Find the </t>
    </r>
    <r>
      <rPr>
        <b/>
        <sz val="14"/>
        <color rgb="FF2D3134"/>
        <rFont val="Arial"/>
        <family val="2"/>
      </rPr>
      <t>Salary</t>
    </r>
    <r>
      <rPr>
        <sz val="14"/>
        <color rgb="FF2D3134"/>
        <rFont val="Arial"/>
        <family val="2"/>
      </rPr>
      <t> of EmpID </t>
    </r>
    <r>
      <rPr>
        <b/>
        <sz val="14"/>
        <color rgb="FF2D3134"/>
        <rFont val="Arial"/>
        <family val="2"/>
      </rPr>
      <t>105</t>
    </r>
    <r>
      <rPr>
        <sz val="14"/>
        <color rgb="FF2D3134"/>
        <rFont val="Arial"/>
        <family val="2"/>
      </rPr>
      <t>.</t>
    </r>
  </si>
  <si>
    <r>
      <t>7. Get the </t>
    </r>
    <r>
      <rPr>
        <b/>
        <sz val="14"/>
        <color rgb="FF2D3134"/>
        <rFont val="Arial"/>
        <family val="2"/>
      </rPr>
      <t>Department</t>
    </r>
    <r>
      <rPr>
        <sz val="14"/>
        <color rgb="FF2D3134"/>
        <rFont val="Arial"/>
        <family val="2"/>
      </rPr>
      <t> of EmpID </t>
    </r>
    <r>
      <rPr>
        <b/>
        <sz val="14"/>
        <color rgb="FF2D3134"/>
        <rFont val="Arial"/>
        <family val="2"/>
      </rPr>
      <t>106</t>
    </r>
    <r>
      <rPr>
        <sz val="14"/>
        <color rgb="FF2D3134"/>
        <rFont val="Arial"/>
        <family val="2"/>
      </rPr>
      <t>.</t>
    </r>
  </si>
  <si>
    <r>
      <t>8. Find the </t>
    </r>
    <r>
      <rPr>
        <b/>
        <sz val="14"/>
        <color rgb="FF2D3134"/>
        <rFont val="Arial"/>
        <family val="2"/>
      </rPr>
      <t>Name</t>
    </r>
    <r>
      <rPr>
        <sz val="14"/>
        <color rgb="FF2D3134"/>
        <rFont val="Arial"/>
        <family val="2"/>
      </rPr>
      <t> of EmpID </t>
    </r>
    <r>
      <rPr>
        <b/>
        <sz val="14"/>
        <color rgb="FF2D3134"/>
        <rFont val="Arial"/>
        <family val="2"/>
      </rPr>
      <t>101</t>
    </r>
    <r>
      <rPr>
        <sz val="14"/>
        <color rgb="FF2D3134"/>
        <rFont val="Arial"/>
        <family val="2"/>
      </rPr>
      <t>.</t>
    </r>
  </si>
  <si>
    <r>
      <t>9. Use HLOOKUP with </t>
    </r>
    <r>
      <rPr>
        <sz val="11"/>
        <color rgb="FF2D3134"/>
        <rFont val="Courier New"/>
        <family val="3"/>
      </rPr>
      <t>FALSE</t>
    </r>
    <r>
      <rPr>
        <sz val="14"/>
        <color rgb="FF2D3134"/>
        <rFont val="Arial"/>
        <family val="2"/>
      </rPr>
      <t> to check if EmpID </t>
    </r>
    <r>
      <rPr>
        <b/>
        <sz val="14"/>
        <color rgb="FF2D3134"/>
        <rFont val="Arial"/>
        <family val="2"/>
      </rPr>
      <t>107</t>
    </r>
    <r>
      <rPr>
        <sz val="14"/>
        <color rgb="FF2D3134"/>
        <rFont val="Arial"/>
        <family val="2"/>
      </rPr>
      <t> exists.</t>
    </r>
  </si>
  <si>
    <t>Alice Wong</t>
  </si>
  <si>
    <t>Carol Jones</t>
  </si>
  <si>
    <t>San Diego</t>
  </si>
  <si>
    <t>Emily Davis</t>
  </si>
  <si>
    <t>Frank Lee</t>
  </si>
  <si>
    <t>Boston</t>
  </si>
  <si>
    <t>Grace Hall</t>
  </si>
  <si>
    <t>Henry Adams</t>
  </si>
  <si>
    <t>Irene Scott</t>
  </si>
  <si>
    <t>Jack White</t>
  </si>
  <si>
    <r>
      <t>1. Find the </t>
    </r>
    <r>
      <rPr>
        <b/>
        <sz val="14"/>
        <color rgb="FF2D3134"/>
        <rFont val="Arial"/>
        <family val="2"/>
      </rPr>
      <t>Name</t>
    </r>
    <r>
      <rPr>
        <sz val="14"/>
        <color rgb="FF2D3134"/>
        <rFont val="Arial"/>
        <family val="2"/>
      </rPr>
      <t> of the employee with EmpID = 104.</t>
    </r>
  </si>
  <si>
    <r>
      <t>2. Find the </t>
    </r>
    <r>
      <rPr>
        <b/>
        <sz val="14"/>
        <color rgb="FF2D3134"/>
        <rFont val="Arial"/>
        <family val="2"/>
      </rPr>
      <t>Department</t>
    </r>
    <r>
      <rPr>
        <sz val="14"/>
        <color rgb="FF2D3134"/>
        <rFont val="Arial"/>
        <family val="2"/>
      </rPr>
      <t> of employee 106.</t>
    </r>
  </si>
  <si>
    <r>
      <t>3. Find the </t>
    </r>
    <r>
      <rPr>
        <b/>
        <sz val="14"/>
        <color rgb="FF2D3134"/>
        <rFont val="Arial"/>
        <family val="2"/>
      </rPr>
      <t>Salary</t>
    </r>
    <r>
      <rPr>
        <sz val="14"/>
        <color rgb="FF2D3134"/>
        <rFont val="Arial"/>
        <family val="2"/>
      </rPr>
      <t> of employee 102.</t>
    </r>
  </si>
  <si>
    <r>
      <t>4. Retrieve the </t>
    </r>
    <r>
      <rPr>
        <b/>
        <sz val="14"/>
        <color rgb="FF2D3134"/>
        <rFont val="Arial"/>
        <family val="2"/>
      </rPr>
      <t>Bonus %</t>
    </r>
    <r>
      <rPr>
        <sz val="14"/>
        <color rgb="FF2D3134"/>
        <rFont val="Arial"/>
        <family val="2"/>
      </rPr>
      <t> for EmpID = 109.</t>
    </r>
  </si>
  <si>
    <r>
      <t>5. Find the </t>
    </r>
    <r>
      <rPr>
        <b/>
        <sz val="14"/>
        <color rgb="FF2D3134"/>
        <rFont val="Arial"/>
        <family val="2"/>
      </rPr>
      <t>Location</t>
    </r>
    <r>
      <rPr>
        <sz val="14"/>
        <color rgb="FF2D3134"/>
        <rFont val="Arial"/>
        <family val="2"/>
      </rPr>
      <t> of employee 101.</t>
    </r>
  </si>
  <si>
    <t>Alice</t>
  </si>
  <si>
    <t>Bob</t>
  </si>
  <si>
    <t>Charlie</t>
  </si>
  <si>
    <t>San Francisco</t>
  </si>
  <si>
    <t>Diana</t>
  </si>
  <si>
    <t>Ethan</t>
  </si>
  <si>
    <t>Seattle</t>
  </si>
  <si>
    <t>1. Find the Department of Employee ID 103.</t>
  </si>
  <si>
    <t>2. Find the Salary of “Bob”.</t>
  </si>
  <si>
    <t>3. Get the Location of Employee ID 105.</t>
  </si>
  <si>
    <t>4. Return the Employee Name who works in “Marketing”.</t>
  </si>
  <si>
    <t>5. If Employee ID 106 is searched, return “Not Found”.</t>
  </si>
  <si>
    <t>Date</t>
  </si>
  <si>
    <t>Account Category</t>
  </si>
  <si>
    <t>Amount</t>
  </si>
  <si>
    <t>Payment Method</t>
  </si>
  <si>
    <t>Travel</t>
  </si>
  <si>
    <t>Credit Card</t>
  </si>
  <si>
    <t>Software</t>
  </si>
  <si>
    <t>Bank Transfer</t>
  </si>
  <si>
    <t>West</t>
  </si>
  <si>
    <t>Salaries</t>
  </si>
  <si>
    <t>Office Supplies</t>
  </si>
  <si>
    <t>Operations</t>
  </si>
  <si>
    <t>Utilities</t>
  </si>
  <si>
    <t>Cash</t>
  </si>
  <si>
    <r>
      <t>1. Total </t>
    </r>
    <r>
      <rPr>
        <b/>
        <sz val="14"/>
        <color rgb="FF2D3134"/>
        <rFont val="Arial"/>
        <family val="2"/>
      </rPr>
      <t>Travel</t>
    </r>
    <r>
      <rPr>
        <sz val="14"/>
        <color rgb="FF2D3134"/>
        <rFont val="Arial"/>
        <family val="2"/>
      </rPr>
      <t> expenses across all departments.</t>
    </r>
  </si>
  <si>
    <r>
      <t>2. Total expenses for the </t>
    </r>
    <r>
      <rPr>
        <b/>
        <sz val="14"/>
        <color rgb="FF2D3134"/>
        <rFont val="Arial"/>
        <family val="2"/>
      </rPr>
      <t>Sales</t>
    </r>
    <r>
      <rPr>
        <sz val="14"/>
        <color rgb="FF2D3134"/>
        <rFont val="Arial"/>
        <family val="2"/>
      </rPr>
      <t> department.</t>
    </r>
  </si>
  <si>
    <r>
      <t>3. Total </t>
    </r>
    <r>
      <rPr>
        <b/>
        <sz val="14"/>
        <color rgb="FF2D3134"/>
        <rFont val="Arial"/>
        <family val="2"/>
      </rPr>
      <t>Utilities</t>
    </r>
    <r>
      <rPr>
        <sz val="14"/>
        <color rgb="FF2D3134"/>
        <rFont val="Arial"/>
        <family val="2"/>
      </rPr>
      <t> expenses in the </t>
    </r>
    <r>
      <rPr>
        <b/>
        <sz val="14"/>
        <color rgb="FF2D3134"/>
        <rFont val="Arial"/>
        <family val="2"/>
      </rPr>
      <t>East</t>
    </r>
    <r>
      <rPr>
        <sz val="14"/>
        <color rgb="FF2D3134"/>
        <rFont val="Arial"/>
        <family val="2"/>
      </rPr>
      <t> region.</t>
    </r>
  </si>
  <si>
    <r>
      <t>4. Total expenses paid via </t>
    </r>
    <r>
      <rPr>
        <b/>
        <sz val="14"/>
        <color rgb="FF2D3134"/>
        <rFont val="Arial"/>
        <family val="2"/>
      </rPr>
      <t>Credit Card</t>
    </r>
    <r>
      <rPr>
        <sz val="14"/>
        <color rgb="FF2D3134"/>
        <rFont val="Arial"/>
        <family val="2"/>
      </rPr>
      <t>.</t>
    </r>
  </si>
  <si>
    <r>
      <t>5. Total </t>
    </r>
    <r>
      <rPr>
        <b/>
        <sz val="14"/>
        <color rgb="FF2D3134"/>
        <rFont val="Arial"/>
        <family val="2"/>
      </rPr>
      <t>Salaries</t>
    </r>
    <r>
      <rPr>
        <sz val="14"/>
        <color rgb="FF2D3134"/>
        <rFont val="Arial"/>
        <family val="2"/>
      </rPr>
      <t> for the </t>
    </r>
    <r>
      <rPr>
        <b/>
        <sz val="14"/>
        <color rgb="FF2D3134"/>
        <rFont val="Arial"/>
        <family val="2"/>
      </rPr>
      <t>HR</t>
    </r>
    <r>
      <rPr>
        <sz val="14"/>
        <color rgb="FF2D3134"/>
        <rFont val="Arial"/>
        <family val="2"/>
      </rPr>
      <t> department.</t>
    </r>
  </si>
  <si>
    <t>1.How many transactions were made in the East region?</t>
  </si>
  <si>
    <t>Sumifs</t>
  </si>
  <si>
    <t>Countifs</t>
  </si>
  <si>
    <t>2.How many Credit Card payments were made by the Marketing department?</t>
  </si>
  <si>
    <t>3. Count how many transactions are for the category “Utilities”.</t>
  </si>
  <si>
    <t>1.What is the average Amount for the Sales department?</t>
  </si>
  <si>
    <t>2.What is the average Amount paid using Credit Card?</t>
  </si>
  <si>
    <t>3.Average “Software” expenses?</t>
  </si>
  <si>
    <t xml:space="preserve">AVERAGEIFS  </t>
  </si>
  <si>
    <t>Total Sales</t>
  </si>
  <si>
    <t>Heather</t>
  </si>
  <si>
    <t>Victoria</t>
  </si>
  <si>
    <t>Steven</t>
  </si>
  <si>
    <t>Sonia</t>
  </si>
  <si>
    <t>Sue</t>
  </si>
  <si>
    <t>Luke</t>
  </si>
  <si>
    <t>Karen</t>
  </si>
  <si>
    <t>Owen</t>
  </si>
  <si>
    <t>Richard</t>
  </si>
  <si>
    <t>Nathan</t>
  </si>
  <si>
    <t>Austin</t>
  </si>
  <si>
    <t>Maria</t>
  </si>
  <si>
    <t>Faith</t>
  </si>
  <si>
    <t>Stewart</t>
  </si>
  <si>
    <t>Jane</t>
  </si>
  <si>
    <t>Donna</t>
  </si>
  <si>
    <t>Phil</t>
  </si>
  <si>
    <t>Elizabeth</t>
  </si>
  <si>
    <t>Madeleine</t>
  </si>
  <si>
    <t>Claire</t>
  </si>
  <si>
    <t>Total sales</t>
  </si>
  <si>
    <t>West Region</t>
  </si>
  <si>
    <t>South Region</t>
  </si>
  <si>
    <t>&gt;15000</t>
  </si>
  <si>
    <t>Experience (Years)</t>
  </si>
  <si>
    <t>Status</t>
  </si>
  <si>
    <t>Arun</t>
  </si>
  <si>
    <t>Active</t>
  </si>
  <si>
    <t>Banu</t>
  </si>
  <si>
    <t>Charan</t>
  </si>
  <si>
    <t>Inactive</t>
  </si>
  <si>
    <t>Divya</t>
  </si>
  <si>
    <t>E105</t>
  </si>
  <si>
    <t>Farhan</t>
  </si>
  <si>
    <t>E106</t>
  </si>
  <si>
    <t>Geetha</t>
  </si>
  <si>
    <t>E107</t>
  </si>
  <si>
    <t>Hari</t>
  </si>
  <si>
    <t>Q1️⃣ Experience Level</t>
  </si>
  <si>
    <t>Condition:</t>
  </si>
  <si>
    <r>
      <t xml:space="preserve">If Experience &lt; 2 → </t>
    </r>
    <r>
      <rPr>
        <sz val="10"/>
        <color theme="1"/>
        <rFont val="Arial Unicode MS"/>
      </rPr>
      <t>"Fresher"</t>
    </r>
  </si>
  <si>
    <r>
      <t xml:space="preserve">If Experience 2–4 → </t>
    </r>
    <r>
      <rPr>
        <sz val="10"/>
        <color theme="1"/>
        <rFont val="Arial Unicode MS"/>
      </rPr>
      <t>"Junior"</t>
    </r>
  </si>
  <si>
    <r>
      <t xml:space="preserve">If Experience 5–6 → </t>
    </r>
    <r>
      <rPr>
        <sz val="10"/>
        <color theme="1"/>
        <rFont val="Arial Unicode MS"/>
      </rPr>
      <t>"Mid"</t>
    </r>
  </si>
  <si>
    <r>
      <t xml:space="preserve">If Experience &gt; 6 → </t>
    </r>
    <r>
      <rPr>
        <sz val="10"/>
        <color theme="1"/>
        <rFont val="Arial Unicode MS"/>
      </rPr>
      <t>"Senior"</t>
    </r>
  </si>
  <si>
    <t>Q2️⃣ Salary Category</t>
  </si>
  <si>
    <r>
      <t xml:space="preserve">Salary &lt; 20000 → </t>
    </r>
    <r>
      <rPr>
        <sz val="10"/>
        <color theme="1"/>
        <rFont val="Arial Unicode MS"/>
      </rPr>
      <t>"Low"</t>
    </r>
  </si>
  <si>
    <r>
      <t xml:space="preserve">20000–39999 → </t>
    </r>
    <r>
      <rPr>
        <sz val="10"/>
        <color theme="1"/>
        <rFont val="Arial Unicode MS"/>
      </rPr>
      <t>"Medium"</t>
    </r>
  </si>
  <si>
    <r>
      <t xml:space="preserve">≥ 40000 → </t>
    </r>
    <r>
      <rPr>
        <sz val="10"/>
        <color theme="1"/>
        <rFont val="Arial Unicode MS"/>
      </rPr>
      <t>"High"</t>
    </r>
  </si>
  <si>
    <t>Q3️⃣ Bonus Eligibility</t>
  </si>
  <si>
    <r>
      <t xml:space="preserve">If Status = Active AND Experience ≥ 3 → </t>
    </r>
    <r>
      <rPr>
        <sz val="10"/>
        <color theme="1"/>
        <rFont val="Arial Unicode MS"/>
      </rPr>
      <t>"Eligible"</t>
    </r>
  </si>
  <si>
    <r>
      <t xml:space="preserve">Else → </t>
    </r>
    <r>
      <rPr>
        <sz val="10"/>
        <color theme="1"/>
        <rFont val="Arial Unicode MS"/>
      </rPr>
      <t>"Not Eligible"</t>
    </r>
  </si>
  <si>
    <t>Q4️⃣ Department Label</t>
  </si>
  <si>
    <r>
      <t xml:space="preserve">IT → </t>
    </r>
    <r>
      <rPr>
        <sz val="10"/>
        <color theme="1"/>
        <rFont val="Arial Unicode MS"/>
      </rPr>
      <t>"Tech"</t>
    </r>
  </si>
  <si>
    <r>
      <t xml:space="preserve">HR → </t>
    </r>
    <r>
      <rPr>
        <sz val="10"/>
        <color theme="1"/>
        <rFont val="Arial Unicode MS"/>
      </rPr>
      <t>"People Ops"</t>
    </r>
  </si>
  <si>
    <r>
      <t xml:space="preserve">Sales → </t>
    </r>
    <r>
      <rPr>
        <sz val="10"/>
        <color theme="1"/>
        <rFont val="Arial Unicode MS"/>
      </rPr>
      <t>"Business"</t>
    </r>
  </si>
  <si>
    <t>Product ID</t>
  </si>
  <si>
    <t>Category</t>
  </si>
  <si>
    <t>Laptop</t>
  </si>
  <si>
    <t>Electronics</t>
  </si>
  <si>
    <t>Phone</t>
  </si>
  <si>
    <t>Chair</t>
  </si>
  <si>
    <t>Furniture</t>
  </si>
  <si>
    <t>Desk</t>
  </si>
  <si>
    <t>Monitor</t>
  </si>
  <si>
    <r>
      <t>1. Find the </t>
    </r>
    <r>
      <rPr>
        <b/>
        <sz val="14"/>
        <color rgb="FF2D3134"/>
        <rFont val="Arial"/>
        <family val="2"/>
      </rPr>
      <t>sales of “Phone”</t>
    </r>
    <r>
      <rPr>
        <sz val="14"/>
        <color rgb="FF2D3134"/>
        <rFont val="Arial"/>
        <family val="2"/>
      </rPr>
      <t>.</t>
    </r>
  </si>
  <si>
    <r>
      <t>2. Get the </t>
    </r>
    <r>
      <rPr>
        <b/>
        <sz val="14"/>
        <color rgb="FF2D3134"/>
        <rFont val="Arial"/>
        <family val="2"/>
      </rPr>
      <t>Region for Product ID 104</t>
    </r>
    <r>
      <rPr>
        <sz val="14"/>
        <color rgb="FF2D3134"/>
        <rFont val="Arial"/>
        <family val="2"/>
      </rPr>
      <t>.</t>
    </r>
  </si>
  <si>
    <r>
      <t>3. Find the </t>
    </r>
    <r>
      <rPr>
        <b/>
        <sz val="14"/>
        <color rgb="FF2D3134"/>
        <rFont val="Arial"/>
        <family val="2"/>
      </rPr>
      <t>Category of “Monitor”</t>
    </r>
    <r>
      <rPr>
        <sz val="14"/>
        <color rgb="FF2D3134"/>
        <rFont val="Arial"/>
        <family val="2"/>
      </rPr>
      <t>.</t>
    </r>
  </si>
  <si>
    <r>
      <t>4. Lookup </t>
    </r>
    <r>
      <rPr>
        <b/>
        <sz val="14"/>
        <color rgb="FF2D3134"/>
        <rFont val="Arial"/>
        <family val="2"/>
      </rPr>
      <t>Sales for Product ID 101</t>
    </r>
    <r>
      <rPr>
        <sz val="14"/>
        <color rgb="FF2D3134"/>
        <rFont val="Arial"/>
        <family val="2"/>
      </rPr>
      <t>.</t>
    </r>
  </si>
  <si>
    <r>
      <t>5. Find the </t>
    </r>
    <r>
      <rPr>
        <b/>
        <sz val="14"/>
        <color rgb="FF2D3134"/>
        <rFont val="Arial"/>
        <family val="2"/>
      </rPr>
      <t>Product Name sold in the East region</t>
    </r>
    <r>
      <rPr>
        <sz val="14"/>
        <color rgb="FF2D3134"/>
        <rFont val="Arial"/>
        <family val="2"/>
      </rPr>
      <t>.</t>
    </r>
  </si>
  <si>
    <r>
      <t>6. Return the </t>
    </r>
    <r>
      <rPr>
        <b/>
        <sz val="14"/>
        <color rgb="FF2D3134"/>
        <rFont val="Arial"/>
        <family val="2"/>
      </rPr>
      <t>Region for Product Name = Chair</t>
    </r>
    <r>
      <rPr>
        <sz val="14"/>
        <color rgb="FF2D3134"/>
        <rFont val="Arial"/>
        <family val="2"/>
      </rPr>
      <t>.</t>
    </r>
  </si>
  <si>
    <r>
      <t>7. Find </t>
    </r>
    <r>
      <rPr>
        <b/>
        <sz val="14"/>
        <color rgb="FF2D3134"/>
        <rFont val="Arial"/>
        <family val="2"/>
      </rPr>
      <t>Sales where Product ID = 105</t>
    </r>
    <r>
      <rPr>
        <sz val="14"/>
        <color rgb="FF2D3134"/>
        <rFont val="Arial"/>
        <family val="2"/>
      </rPr>
      <t>.</t>
    </r>
  </si>
  <si>
    <r>
      <t>8. Get </t>
    </r>
    <r>
      <rPr>
        <b/>
        <sz val="14"/>
        <color rgb="FF2D3134"/>
        <rFont val="Arial"/>
        <family val="2"/>
      </rPr>
      <t>Category for Product ID 102</t>
    </r>
    <r>
      <rPr>
        <sz val="14"/>
        <color rgb="FF2D3134"/>
        <rFont val="Arial"/>
        <family val="2"/>
      </rPr>
      <t>.</t>
    </r>
  </si>
  <si>
    <r>
      <t>9. Find </t>
    </r>
    <r>
      <rPr>
        <b/>
        <sz val="14"/>
        <color rgb="FF2D3134"/>
        <rFont val="Arial"/>
        <family val="2"/>
      </rPr>
      <t>Product Name for Sales = 2500</t>
    </r>
    <r>
      <rPr>
        <sz val="14"/>
        <color rgb="FF2D3134"/>
        <rFont val="Arial"/>
        <family val="2"/>
      </rPr>
      <t>.</t>
    </r>
  </si>
  <si>
    <r>
      <t>10. Lookup </t>
    </r>
    <r>
      <rPr>
        <b/>
        <sz val="14"/>
        <color rgb="FF2D3134"/>
        <rFont val="Arial"/>
        <family val="2"/>
      </rPr>
      <t>Region for Product Name = Laptop</t>
    </r>
    <r>
      <rPr>
        <sz val="14"/>
        <color rgb="FF2D3134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</si>
</sst>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9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3"/>
      <color rgb="FF000000"/>
      <name val="Arial"/>
      <family val="2"/>
    </font>
    <font>
      <sz val="11"/>
      <color rgb="FF188038"/>
      <name val="Courier New"/>
      <family val="3"/>
    </font>
    <font>
      <i/>
      <sz val="11"/>
      <color rgb="FF000000"/>
      <name val="Arial"/>
      <family val="2"/>
    </font>
    <font>
      <i/>
      <sz val="11"/>
      <color rgb="FF188038"/>
      <name val="Courier New"/>
      <family val="3"/>
    </font>
    <font>
      <b/>
      <sz val="11"/>
      <color rgb="FF2D3134"/>
      <name val="Arial"/>
      <family val="2"/>
    </font>
    <font>
      <sz val="9.9"/>
      <color rgb="FF2D3134"/>
      <name val="Arial"/>
      <family val="2"/>
    </font>
    <font>
      <sz val="14"/>
      <color rgb="FF2D3134"/>
      <name val="Arial"/>
      <family val="2"/>
    </font>
    <font>
      <b/>
      <sz val="14"/>
      <color rgb="FF2D3134"/>
      <name val="Arial"/>
      <family val="2"/>
    </font>
    <font>
      <sz val="11"/>
      <color rgb="FF2D3134"/>
      <name val="Courier New"/>
      <family val="3"/>
    </font>
    <font>
      <b/>
      <sz val="11"/>
      <color theme="1"/>
      <name val="Aptos Narrow"/>
      <family val="2"/>
      <scheme val="minor"/>
    </font>
    <font>
      <sz val="9.9"/>
      <color rgb="FF2D3134"/>
      <name val="Arial"/>
      <family val="2"/>
    </font>
    <font>
      <sz val="14"/>
      <color rgb="FF2D3134"/>
      <name val="Arial"/>
      <family val="2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sz val="9.9"/>
      <color rgb="FF2D3134"/>
      <name val="Arial"/>
      <family val="2"/>
    </font>
    <font>
      <sz val="14"/>
      <color rgb="FF2D313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8" fontId="2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3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9" fontId="8" fillId="2" borderId="1" xfId="0" applyNumberFormat="1" applyFont="1" applyFill="1" applyBorder="1" applyAlignment="1">
      <alignment vertical="top" wrapText="1"/>
    </xf>
    <xf numFmtId="0" fontId="9" fillId="0" borderId="0" xfId="0" applyFont="1" applyAlignment="1">
      <alignment horizontal="left" vertical="center" indent="1"/>
    </xf>
    <xf numFmtId="3" fontId="8" fillId="2" borderId="1" xfId="0" applyNumberFormat="1" applyFont="1" applyFill="1" applyBorder="1" applyAlignment="1">
      <alignment vertical="top" wrapTex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15" fontId="13" fillId="2" borderId="1" xfId="0" applyNumberFormat="1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14" fillId="0" borderId="0" xfId="0" applyFont="1" applyAlignment="1">
      <alignment horizontal="left" vertical="center" indent="1"/>
    </xf>
    <xf numFmtId="0" fontId="0" fillId="0" borderId="0" xfId="0" applyAlignment="1"/>
    <xf numFmtId="0" fontId="12" fillId="0" borderId="0" xfId="0" applyFont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6" fontId="0" fillId="0" borderId="0" xfId="0" applyNumberFormat="1"/>
    <xf numFmtId="0" fontId="0" fillId="0" borderId="0" xfId="0"/>
    <xf numFmtId="0" fontId="2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top" wrapText="1"/>
    </xf>
    <xf numFmtId="0" fontId="0" fillId="0" borderId="0" xfId="0" applyAlignment="1"/>
    <xf numFmtId="0" fontId="12" fillId="0" borderId="0" xfId="0" applyFont="1"/>
    <xf numFmtId="0" fontId="0" fillId="3" borderId="2" xfId="0" applyFont="1" applyFill="1" applyBorder="1"/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7" fillId="2" borderId="1" xfId="0" applyFont="1" applyFill="1" applyBorder="1" applyAlignment="1">
      <alignment vertical="top" wrapText="1"/>
    </xf>
    <xf numFmtId="0" fontId="18" fillId="0" borderId="0" xfId="0" applyFont="1" applyAlignment="1">
      <alignment horizontal="left" vertical="center"/>
    </xf>
    <xf numFmtId="0" fontId="7" fillId="2" borderId="3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2BD55F-A5A1-4F6B-B541-42E72316046D}" name="Table2" displayName="Table2" ref="A2:C12" totalsRowShown="0">
  <autoFilter ref="A2:C12" xr:uid="{A82BD55F-A5A1-4F6B-B541-42E72316046D}"/>
  <tableColumns count="3">
    <tableColumn id="1" xr3:uid="{99E5A54E-2E5F-4D65-A874-46533574A8FA}" name="Employee ID"/>
    <tableColumn id="2" xr3:uid="{AD0FD6E4-2258-41B5-B176-618128AADB67}" name="Employee Name"/>
    <tableColumn id="3" xr3:uid="{F367FC41-31C6-4043-8786-DD36083C7018}" name="Total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A96971-9F6B-4EDA-B1C4-8C14FC1B8CD1}" name="Table3" displayName="Table3" ref="A2:C12" totalsRowShown="0">
  <autoFilter ref="A2:C12" xr:uid="{5BA96971-9F6B-4EDA-B1C4-8C14FC1B8CD1}"/>
  <tableColumns count="3">
    <tableColumn id="1" xr3:uid="{F5F35967-0184-4841-93D9-9BCE7A395277}" name="Employee ID"/>
    <tableColumn id="2" xr3:uid="{B36DBB16-2675-438A-BE11-1993669D76B0}" name="Employee Name"/>
    <tableColumn id="3" xr3:uid="{64028E8C-25D4-41AC-A957-3B57BFA54CB2}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501D-6D39-47C0-BD3B-731105821A53}">
  <dimension ref="A1:F54"/>
  <sheetViews>
    <sheetView topLeftCell="A25" workbookViewId="0">
      <selection activeCell="F4" sqref="F4"/>
    </sheetView>
  </sheetViews>
  <sheetFormatPr defaultRowHeight="15"/>
  <cols>
    <col min="1" max="1" width="15.140625" customWidth="1"/>
    <col min="2" max="2" width="18.140625" customWidth="1"/>
    <col min="3" max="3" width="14.42578125" customWidth="1"/>
    <col min="4" max="4" width="15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 t="s">
        <v>4</v>
      </c>
      <c r="B2" s="2" t="s">
        <v>5</v>
      </c>
      <c r="C2" s="2" t="s">
        <v>6</v>
      </c>
      <c r="D2" s="3">
        <v>55000</v>
      </c>
    </row>
    <row r="3" spans="1:6">
      <c r="A3" s="2" t="s">
        <v>7</v>
      </c>
      <c r="B3" s="2" t="s">
        <v>8</v>
      </c>
      <c r="C3" s="2" t="s">
        <v>9</v>
      </c>
      <c r="D3" s="3">
        <v>60000</v>
      </c>
    </row>
    <row r="4" spans="1:6">
      <c r="A4" s="2" t="s">
        <v>10</v>
      </c>
      <c r="B4" s="2" t="s">
        <v>11</v>
      </c>
      <c r="C4" s="2" t="s">
        <v>12</v>
      </c>
      <c r="D4" s="3">
        <v>75000</v>
      </c>
    </row>
    <row r="5" spans="1:6">
      <c r="A5" s="2" t="s">
        <v>13</v>
      </c>
      <c r="B5" s="2" t="s">
        <v>14</v>
      </c>
      <c r="C5" s="2" t="s">
        <v>6</v>
      </c>
      <c r="D5" s="3">
        <v>58000</v>
      </c>
    </row>
    <row r="6" spans="1:6">
      <c r="A6" s="2"/>
      <c r="B6" s="2"/>
      <c r="C6" s="2"/>
      <c r="D6" s="3"/>
    </row>
    <row r="7" spans="1:6">
      <c r="A7" s="2"/>
      <c r="B7" s="2"/>
      <c r="C7" s="2"/>
      <c r="D7" s="3"/>
      <c r="F7" s="2"/>
    </row>
    <row r="8" spans="1:6">
      <c r="A8" s="2"/>
      <c r="B8" s="2"/>
      <c r="C8" s="2"/>
      <c r="D8" s="3"/>
    </row>
    <row r="9" spans="1:6">
      <c r="A9" s="2"/>
      <c r="B9" s="2"/>
      <c r="C9" s="2"/>
      <c r="D9" s="3"/>
    </row>
    <row r="11" spans="1:6" ht="16.5">
      <c r="A11" s="4" t="s">
        <v>15</v>
      </c>
    </row>
    <row r="12" spans="1:6">
      <c r="A12" s="5" t="s">
        <v>16</v>
      </c>
    </row>
    <row r="13" spans="1:6">
      <c r="A13" s="6" t="s">
        <v>17</v>
      </c>
    </row>
    <row r="14" spans="1:6">
      <c r="A14" s="5" t="s">
        <v>18</v>
      </c>
    </row>
    <row r="15" spans="1:6">
      <c r="A15" s="6" t="s">
        <v>19</v>
      </c>
    </row>
    <row r="16" spans="1:6">
      <c r="A16" s="1" t="s">
        <v>0</v>
      </c>
      <c r="B16" s="1" t="s">
        <v>1</v>
      </c>
      <c r="C16" s="1" t="s">
        <v>2</v>
      </c>
      <c r="D16" s="1" t="s">
        <v>3</v>
      </c>
    </row>
    <row r="17" spans="1:4">
      <c r="A17" s="2" t="s">
        <v>4</v>
      </c>
      <c r="B17" s="2" t="s">
        <v>5</v>
      </c>
      <c r="C17" s="2" t="s">
        <v>6</v>
      </c>
      <c r="D17" s="3">
        <v>55000</v>
      </c>
    </row>
    <row r="18" spans="1:4">
      <c r="A18" s="2" t="s">
        <v>7</v>
      </c>
      <c r="B18" s="2" t="s">
        <v>8</v>
      </c>
      <c r="C18" s="2" t="s">
        <v>9</v>
      </c>
      <c r="D18" s="3">
        <v>60000</v>
      </c>
    </row>
    <row r="19" spans="1:4">
      <c r="A19" s="2" t="s">
        <v>10</v>
      </c>
      <c r="B19" s="2" t="s">
        <v>11</v>
      </c>
      <c r="C19" s="2" t="s">
        <v>12</v>
      </c>
      <c r="D19" s="3">
        <v>75000</v>
      </c>
    </row>
    <row r="20" spans="1:4">
      <c r="A20" s="2" t="s">
        <v>13</v>
      </c>
      <c r="B20" s="2" t="s">
        <v>14</v>
      </c>
      <c r="C20" s="2" t="s">
        <v>6</v>
      </c>
      <c r="D20" s="3">
        <v>58000</v>
      </c>
    </row>
    <row r="21" spans="1:4">
      <c r="A21" s="5" t="s">
        <v>20</v>
      </c>
    </row>
    <row r="22" spans="1:4">
      <c r="A22" s="6" t="s">
        <v>21</v>
      </c>
    </row>
    <row r="23" spans="1:4">
      <c r="A23" s="8" t="s">
        <v>22</v>
      </c>
    </row>
    <row r="24" spans="1:4">
      <c r="A24" s="8" t="s">
        <v>23</v>
      </c>
    </row>
    <row r="25" spans="1:4">
      <c r="A25" s="9" t="s">
        <v>24</v>
      </c>
    </row>
    <row r="26" spans="1:4">
      <c r="A26" s="10" t="s">
        <v>25</v>
      </c>
    </row>
    <row r="27" spans="1:4">
      <c r="A27" s="10" t="s">
        <v>26</v>
      </c>
    </row>
    <row r="28" spans="1:4">
      <c r="A28" s="10" t="s">
        <v>27</v>
      </c>
    </row>
    <row r="29" spans="1:4">
      <c r="A29" s="10" t="s">
        <v>28</v>
      </c>
    </row>
    <row r="30" spans="1:4">
      <c r="A30" s="8" t="s">
        <v>29</v>
      </c>
    </row>
    <row r="31" spans="1:4">
      <c r="A31" s="5" t="s">
        <v>30</v>
      </c>
    </row>
    <row r="32" spans="1:4">
      <c r="A32" s="8" t="s">
        <v>31</v>
      </c>
    </row>
    <row r="33" spans="1:6">
      <c r="A33" s="8" t="s">
        <v>32</v>
      </c>
    </row>
    <row r="34" spans="1:6">
      <c r="A34" s="11" t="s">
        <v>33</v>
      </c>
    </row>
    <row r="37" spans="1:6" ht="15.75" thickBot="1"/>
    <row r="38" spans="1:6" ht="30.75" thickBot="1">
      <c r="A38" s="17" t="s">
        <v>162</v>
      </c>
      <c r="B38" s="17" t="s">
        <v>163</v>
      </c>
      <c r="C38" s="17" t="s">
        <v>2</v>
      </c>
      <c r="D38" s="17" t="s">
        <v>173</v>
      </c>
      <c r="E38" s="17" t="s">
        <v>3</v>
      </c>
      <c r="F38" s="17" t="s">
        <v>176</v>
      </c>
    </row>
    <row r="39" spans="1:6" ht="15.75" thickBot="1">
      <c r="A39" s="18">
        <v>101</v>
      </c>
      <c r="B39" s="18" t="s">
        <v>186</v>
      </c>
      <c r="C39" s="18" t="s">
        <v>172</v>
      </c>
      <c r="D39" s="18" t="s">
        <v>126</v>
      </c>
      <c r="E39" s="21">
        <v>65000</v>
      </c>
      <c r="F39" s="19">
        <v>0.1</v>
      </c>
    </row>
    <row r="40" spans="1:6" ht="15.75" thickBot="1">
      <c r="A40" s="18">
        <v>102</v>
      </c>
      <c r="B40" s="18" t="s">
        <v>165</v>
      </c>
      <c r="C40" s="18" t="s">
        <v>6</v>
      </c>
      <c r="D40" s="18" t="s">
        <v>175</v>
      </c>
      <c r="E40" s="21">
        <v>72000</v>
      </c>
      <c r="F40" s="19">
        <v>0.12</v>
      </c>
    </row>
    <row r="41" spans="1:6" ht="15.75" thickBot="1">
      <c r="A41" s="18">
        <v>103</v>
      </c>
      <c r="B41" s="18" t="s">
        <v>187</v>
      </c>
      <c r="C41" s="18" t="s">
        <v>12</v>
      </c>
      <c r="D41" s="18" t="s">
        <v>188</v>
      </c>
      <c r="E41" s="21">
        <v>80000</v>
      </c>
      <c r="F41" s="19">
        <v>0.08</v>
      </c>
    </row>
    <row r="42" spans="1:6" ht="15.75" thickBot="1">
      <c r="A42" s="18">
        <v>104</v>
      </c>
      <c r="B42" s="18" t="s">
        <v>167</v>
      </c>
      <c r="C42" s="18" t="s">
        <v>171</v>
      </c>
      <c r="D42" s="18" t="s">
        <v>126</v>
      </c>
      <c r="E42" s="21">
        <v>58000</v>
      </c>
      <c r="F42" s="19">
        <v>0.09</v>
      </c>
    </row>
    <row r="43" spans="1:6" ht="15.75" thickBot="1">
      <c r="A43" s="18">
        <v>105</v>
      </c>
      <c r="B43" s="18" t="s">
        <v>189</v>
      </c>
      <c r="C43" s="18" t="s">
        <v>172</v>
      </c>
      <c r="D43" s="18" t="s">
        <v>175</v>
      </c>
      <c r="E43" s="21">
        <v>62000</v>
      </c>
      <c r="F43" s="19">
        <v>0.11</v>
      </c>
    </row>
    <row r="44" spans="1:6" ht="15.75" thickBot="1">
      <c r="A44" s="18">
        <v>106</v>
      </c>
      <c r="B44" s="18" t="s">
        <v>190</v>
      </c>
      <c r="C44" s="18" t="s">
        <v>6</v>
      </c>
      <c r="D44" s="18" t="s">
        <v>191</v>
      </c>
      <c r="E44" s="21">
        <v>76000</v>
      </c>
      <c r="F44" s="19">
        <v>0.1</v>
      </c>
    </row>
    <row r="45" spans="1:6" ht="15.75" thickBot="1">
      <c r="A45" s="18">
        <v>107</v>
      </c>
      <c r="B45" s="18" t="s">
        <v>192</v>
      </c>
      <c r="C45" s="18" t="s">
        <v>12</v>
      </c>
      <c r="D45" s="18" t="s">
        <v>188</v>
      </c>
      <c r="E45" s="21">
        <v>82000</v>
      </c>
      <c r="F45" s="19">
        <v>7.0000000000000007E-2</v>
      </c>
    </row>
    <row r="46" spans="1:6" ht="15.75" thickBot="1">
      <c r="A46" s="18">
        <v>108</v>
      </c>
      <c r="B46" s="18" t="s">
        <v>193</v>
      </c>
      <c r="C46" s="18" t="s">
        <v>171</v>
      </c>
      <c r="D46" s="18" t="s">
        <v>175</v>
      </c>
      <c r="E46" s="21">
        <v>55000</v>
      </c>
      <c r="F46" s="19">
        <v>0.09</v>
      </c>
    </row>
    <row r="47" spans="1:6" ht="15.75" thickBot="1">
      <c r="A47" s="18">
        <v>109</v>
      </c>
      <c r="B47" s="18" t="s">
        <v>194</v>
      </c>
      <c r="C47" s="18" t="s">
        <v>172</v>
      </c>
      <c r="D47" s="18" t="s">
        <v>191</v>
      </c>
      <c r="E47" s="21">
        <v>68000</v>
      </c>
      <c r="F47" s="19">
        <v>0.1</v>
      </c>
    </row>
    <row r="48" spans="1:6" ht="15.75" thickBot="1">
      <c r="A48" s="18">
        <v>110</v>
      </c>
      <c r="B48" s="18" t="s">
        <v>195</v>
      </c>
      <c r="C48" s="18" t="s">
        <v>12</v>
      </c>
      <c r="D48" s="18" t="s">
        <v>126</v>
      </c>
      <c r="E48" s="21">
        <v>85000</v>
      </c>
      <c r="F48" s="19">
        <v>0.12</v>
      </c>
    </row>
    <row r="50" spans="1:1" ht="18">
      <c r="A50" s="20" t="s">
        <v>196</v>
      </c>
    </row>
    <row r="51" spans="1:1" ht="18">
      <c r="A51" s="20" t="s">
        <v>197</v>
      </c>
    </row>
    <row r="52" spans="1:1" ht="18">
      <c r="A52" s="20" t="s">
        <v>198</v>
      </c>
    </row>
    <row r="53" spans="1:1" ht="18">
      <c r="A53" s="20" t="s">
        <v>199</v>
      </c>
    </row>
    <row r="54" spans="1:1" ht="18">
      <c r="A54" s="20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1905-ED8C-44A4-B6BF-61CAD9BF0058}">
  <dimension ref="A1:I51"/>
  <sheetViews>
    <sheetView topLeftCell="A31" workbookViewId="0">
      <selection activeCell="F3" sqref="F3"/>
    </sheetView>
  </sheetViews>
  <sheetFormatPr defaultRowHeight="15"/>
  <cols>
    <col min="1" max="1" width="14.42578125" customWidth="1"/>
    <col min="2" max="2" width="11.140625" customWidth="1"/>
    <col min="3" max="3" width="11.42578125" customWidth="1"/>
    <col min="4" max="4" width="10.140625" customWidth="1"/>
    <col min="5" max="5" width="11.140625" customWidth="1"/>
  </cols>
  <sheetData>
    <row r="1" spans="1:8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8">
      <c r="A2" s="2" t="s">
        <v>39</v>
      </c>
      <c r="B2" s="3">
        <v>8200</v>
      </c>
      <c r="C2" s="3">
        <v>9500</v>
      </c>
      <c r="D2" s="3">
        <v>7800</v>
      </c>
      <c r="E2" s="3">
        <v>8900</v>
      </c>
    </row>
    <row r="3" spans="1:8">
      <c r="A3" s="2" t="s">
        <v>40</v>
      </c>
      <c r="B3" s="3">
        <v>12500</v>
      </c>
      <c r="C3" s="3">
        <v>11000</v>
      </c>
      <c r="D3" s="3">
        <v>13200</v>
      </c>
      <c r="E3" s="3">
        <v>14500</v>
      </c>
    </row>
    <row r="4" spans="1:8">
      <c r="A4" s="2" t="s">
        <v>41</v>
      </c>
      <c r="B4" s="3">
        <v>4500</v>
      </c>
      <c r="C4" s="3">
        <v>5000</v>
      </c>
      <c r="D4" s="3">
        <v>4200</v>
      </c>
      <c r="E4" s="3">
        <v>4800</v>
      </c>
    </row>
    <row r="5" spans="1:8">
      <c r="H5" s="1"/>
    </row>
    <row r="9" spans="1:8" ht="16.5">
      <c r="A9" s="4" t="s">
        <v>42</v>
      </c>
    </row>
    <row r="10" spans="1:8">
      <c r="A10" s="5" t="s">
        <v>16</v>
      </c>
    </row>
    <row r="11" spans="1:8">
      <c r="A11" s="6" t="s">
        <v>43</v>
      </c>
    </row>
    <row r="12" spans="1:8">
      <c r="A12" s="5" t="s">
        <v>18</v>
      </c>
    </row>
    <row r="13" spans="1:8">
      <c r="A13" s="6" t="s">
        <v>44</v>
      </c>
    </row>
    <row r="14" spans="1:8">
      <c r="A14" s="1" t="s">
        <v>34</v>
      </c>
      <c r="B14" s="1" t="s">
        <v>35</v>
      </c>
      <c r="C14" s="1" t="s">
        <v>36</v>
      </c>
      <c r="D14" s="1" t="s">
        <v>37</v>
      </c>
      <c r="E14" s="1" t="s">
        <v>38</v>
      </c>
    </row>
    <row r="15" spans="1:8">
      <c r="A15" s="2" t="s">
        <v>39</v>
      </c>
      <c r="B15" s="3">
        <v>8200</v>
      </c>
      <c r="C15" s="3">
        <v>9500</v>
      </c>
      <c r="D15" s="3">
        <v>7800</v>
      </c>
      <c r="E15" s="3">
        <v>8900</v>
      </c>
    </row>
    <row r="16" spans="1:8">
      <c r="A16" s="2" t="s">
        <v>40</v>
      </c>
      <c r="B16" s="3">
        <v>12500</v>
      </c>
      <c r="C16" s="3">
        <v>11000</v>
      </c>
      <c r="D16" s="3">
        <v>13200</v>
      </c>
      <c r="E16" s="3">
        <v>14500</v>
      </c>
    </row>
    <row r="17" spans="1:5">
      <c r="A17" s="2" t="s">
        <v>41</v>
      </c>
      <c r="B17" s="3">
        <v>4500</v>
      </c>
      <c r="C17" s="3">
        <v>5000</v>
      </c>
      <c r="D17" s="3">
        <v>4200</v>
      </c>
      <c r="E17" s="3">
        <v>4800</v>
      </c>
    </row>
    <row r="18" spans="1:5">
      <c r="A18" s="5" t="s">
        <v>20</v>
      </c>
    </row>
    <row r="19" spans="1:5">
      <c r="A19" s="6" t="s">
        <v>45</v>
      </c>
    </row>
    <row r="20" spans="1:5">
      <c r="A20" s="8" t="s">
        <v>46</v>
      </c>
    </row>
    <row r="21" spans="1:5">
      <c r="A21" s="8" t="s">
        <v>47</v>
      </c>
    </row>
    <row r="22" spans="1:5">
      <c r="A22" s="8" t="s">
        <v>48</v>
      </c>
    </row>
    <row r="23" spans="1:5">
      <c r="A23" s="12" t="e">
        <f>HLOOKUP(A7, B1:E4, 3, FALSE)</f>
        <v>#N/A</v>
      </c>
    </row>
    <row r="24" spans="1:5">
      <c r="A24" s="9" t="s">
        <v>24</v>
      </c>
    </row>
    <row r="25" spans="1:5">
      <c r="A25" s="10" t="s">
        <v>49</v>
      </c>
    </row>
    <row r="26" spans="1:5">
      <c r="A26" s="10" t="s">
        <v>50</v>
      </c>
    </row>
    <row r="27" spans="1:5">
      <c r="A27" s="10" t="s">
        <v>51</v>
      </c>
    </row>
    <row r="28" spans="1:5">
      <c r="A28" s="10" t="s">
        <v>52</v>
      </c>
    </row>
    <row r="29" spans="1:5">
      <c r="A29" s="8" t="s">
        <v>53</v>
      </c>
    </row>
    <row r="30" spans="1:5">
      <c r="A30" s="5" t="s">
        <v>30</v>
      </c>
    </row>
    <row r="31" spans="1:5">
      <c r="A31" s="9" t="s">
        <v>54</v>
      </c>
    </row>
    <row r="32" spans="1:5">
      <c r="A32" s="8" t="s">
        <v>55</v>
      </c>
    </row>
    <row r="33" spans="1:9">
      <c r="A33" s="9" t="s">
        <v>56</v>
      </c>
    </row>
    <row r="34" spans="1:9" ht="15.75" thickBot="1"/>
    <row r="35" spans="1:9" ht="15.75" thickBot="1">
      <c r="A35" s="17" t="s">
        <v>162</v>
      </c>
      <c r="B35" s="17">
        <v>101</v>
      </c>
      <c r="C35" s="17">
        <v>102</v>
      </c>
      <c r="D35" s="17">
        <v>103</v>
      </c>
      <c r="E35" s="17">
        <v>104</v>
      </c>
      <c r="F35" s="17">
        <v>105</v>
      </c>
      <c r="G35" s="17">
        <v>106</v>
      </c>
    </row>
    <row r="36" spans="1:9" ht="26.25" thickBot="1">
      <c r="A36" s="18" t="s">
        <v>163</v>
      </c>
      <c r="B36" s="18" t="s">
        <v>164</v>
      </c>
      <c r="C36" s="18" t="s">
        <v>165</v>
      </c>
      <c r="D36" s="18" t="s">
        <v>166</v>
      </c>
      <c r="E36" s="18" t="s">
        <v>167</v>
      </c>
      <c r="F36" s="18" t="s">
        <v>168</v>
      </c>
      <c r="G36" s="18" t="s">
        <v>169</v>
      </c>
    </row>
    <row r="37" spans="1:9" ht="15.75" thickBot="1">
      <c r="A37" s="18" t="s">
        <v>170</v>
      </c>
      <c r="B37" s="18" t="s">
        <v>171</v>
      </c>
      <c r="C37" s="18" t="s">
        <v>12</v>
      </c>
      <c r="D37" s="18" t="s">
        <v>172</v>
      </c>
      <c r="E37" s="18" t="s">
        <v>9</v>
      </c>
      <c r="F37" s="18" t="s">
        <v>6</v>
      </c>
      <c r="G37" s="18" t="s">
        <v>12</v>
      </c>
    </row>
    <row r="38" spans="1:9" ht="15.75" thickBot="1">
      <c r="A38" s="18" t="s">
        <v>3</v>
      </c>
      <c r="B38" s="18">
        <v>50000</v>
      </c>
      <c r="C38" s="18">
        <v>60000</v>
      </c>
      <c r="D38" s="18">
        <v>55000</v>
      </c>
      <c r="E38" s="18">
        <v>72000</v>
      </c>
      <c r="F38" s="18">
        <v>62000</v>
      </c>
      <c r="G38" s="18">
        <v>58000</v>
      </c>
      <c r="I38" s="17"/>
    </row>
    <row r="39" spans="1:9" ht="15.75" thickBot="1">
      <c r="A39" s="18" t="s">
        <v>173</v>
      </c>
      <c r="B39" s="18" t="s">
        <v>126</v>
      </c>
      <c r="C39" s="18" t="s">
        <v>128</v>
      </c>
      <c r="D39" s="18" t="s">
        <v>124</v>
      </c>
      <c r="E39" s="18" t="s">
        <v>130</v>
      </c>
      <c r="F39" s="18" t="s">
        <v>174</v>
      </c>
      <c r="G39" s="18" t="s">
        <v>175</v>
      </c>
    </row>
    <row r="40" spans="1:9" ht="15.75" thickBot="1">
      <c r="A40" s="18" t="s">
        <v>176</v>
      </c>
      <c r="B40" s="19">
        <v>0.1</v>
      </c>
      <c r="C40" s="19">
        <v>0.12</v>
      </c>
      <c r="D40" s="19">
        <v>0.09</v>
      </c>
      <c r="E40" s="19">
        <v>0.15</v>
      </c>
      <c r="F40" s="19">
        <v>0.11</v>
      </c>
      <c r="G40" s="19">
        <v>0.13</v>
      </c>
    </row>
    <row r="43" spans="1:9" ht="18">
      <c r="A43" s="20" t="s">
        <v>177</v>
      </c>
    </row>
    <row r="44" spans="1:9" ht="18">
      <c r="A44" s="20" t="s">
        <v>178</v>
      </c>
    </row>
    <row r="45" spans="1:9" ht="18">
      <c r="A45" s="20" t="s">
        <v>179</v>
      </c>
    </row>
    <row r="46" spans="1:9" ht="18">
      <c r="A46" s="20" t="s">
        <v>180</v>
      </c>
    </row>
    <row r="47" spans="1:9" ht="18">
      <c r="A47" s="20" t="s">
        <v>181</v>
      </c>
    </row>
    <row r="48" spans="1:9" ht="18">
      <c r="A48" s="20" t="s">
        <v>182</v>
      </c>
    </row>
    <row r="49" spans="1:1" ht="18">
      <c r="A49" s="20" t="s">
        <v>183</v>
      </c>
    </row>
    <row r="50" spans="1:1" ht="18">
      <c r="A50" s="20" t="s">
        <v>184</v>
      </c>
    </row>
    <row r="51" spans="1:1" ht="18">
      <c r="A51" s="20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7159-3666-43B2-AD79-7394C5FBBB12}">
  <dimension ref="A1:E54"/>
  <sheetViews>
    <sheetView workbookViewId="0">
      <selection activeCell="E4" sqref="E4"/>
    </sheetView>
  </sheetViews>
  <sheetFormatPr defaultRowHeight="15"/>
  <cols>
    <col min="1" max="1" width="14.7109375" customWidth="1"/>
    <col min="2" max="2" width="17.140625" customWidth="1"/>
    <col min="3" max="3" width="13" customWidth="1"/>
    <col min="4" max="4" width="16.42578125" customWidth="1"/>
  </cols>
  <sheetData>
    <row r="1" spans="1:5" ht="30">
      <c r="A1" s="1" t="s">
        <v>57</v>
      </c>
      <c r="B1" s="1" t="s">
        <v>58</v>
      </c>
      <c r="C1" s="1" t="s">
        <v>59</v>
      </c>
      <c r="D1" s="1" t="s">
        <v>60</v>
      </c>
    </row>
    <row r="2" spans="1:5">
      <c r="A2" s="2" t="s">
        <v>61</v>
      </c>
      <c r="B2" s="2" t="s">
        <v>62</v>
      </c>
      <c r="C2" s="13">
        <v>24.99</v>
      </c>
      <c r="D2" s="2" t="s">
        <v>63</v>
      </c>
    </row>
    <row r="3" spans="1:5" ht="28.5">
      <c r="A3" s="2" t="s">
        <v>64</v>
      </c>
      <c r="B3" s="2" t="s">
        <v>65</v>
      </c>
      <c r="C3" s="13">
        <v>89.99</v>
      </c>
      <c r="D3" s="2" t="s">
        <v>66</v>
      </c>
    </row>
    <row r="4" spans="1:5">
      <c r="A4" s="2" t="s">
        <v>67</v>
      </c>
      <c r="B4" s="2" t="s">
        <v>68</v>
      </c>
      <c r="C4" s="13">
        <v>45.5</v>
      </c>
      <c r="D4" s="2" t="s">
        <v>63</v>
      </c>
      <c r="E4" s="38"/>
    </row>
    <row r="6" spans="1:5">
      <c r="E6" s="2"/>
    </row>
    <row r="7" spans="1:5">
      <c r="E7" s="2"/>
    </row>
    <row r="9" spans="1:5" ht="16.5">
      <c r="A9" s="4" t="s">
        <v>69</v>
      </c>
    </row>
    <row r="10" spans="1:5">
      <c r="A10" s="5" t="s">
        <v>16</v>
      </c>
    </row>
    <row r="11" spans="1:5">
      <c r="A11" s="6" t="s">
        <v>70</v>
      </c>
    </row>
    <row r="12" spans="1:5">
      <c r="A12" s="5" t="s">
        <v>18</v>
      </c>
    </row>
    <row r="13" spans="1:5">
      <c r="A13" s="6" t="s">
        <v>19</v>
      </c>
    </row>
    <row r="14" spans="1:5" ht="30">
      <c r="A14" s="1" t="s">
        <v>57</v>
      </c>
      <c r="B14" s="1" t="s">
        <v>58</v>
      </c>
      <c r="C14" s="1" t="s">
        <v>59</v>
      </c>
      <c r="D14" s="1" t="s">
        <v>60</v>
      </c>
    </row>
    <row r="15" spans="1:5">
      <c r="A15" s="2" t="s">
        <v>61</v>
      </c>
      <c r="B15" s="2" t="s">
        <v>62</v>
      </c>
      <c r="C15" s="13">
        <v>24.99</v>
      </c>
      <c r="D15" s="2" t="s">
        <v>63</v>
      </c>
    </row>
    <row r="16" spans="1:5" ht="28.5">
      <c r="A16" s="2" t="s">
        <v>64</v>
      </c>
      <c r="B16" s="2" t="s">
        <v>65</v>
      </c>
      <c r="C16" s="13">
        <v>89.99</v>
      </c>
      <c r="D16" s="2" t="s">
        <v>66</v>
      </c>
    </row>
    <row r="17" spans="1:4">
      <c r="A17" s="2" t="s">
        <v>67</v>
      </c>
      <c r="B17" s="2" t="s">
        <v>68</v>
      </c>
      <c r="C17" s="13">
        <v>45.5</v>
      </c>
      <c r="D17" s="2" t="s">
        <v>63</v>
      </c>
    </row>
    <row r="18" spans="1:4">
      <c r="A18" s="5" t="s">
        <v>20</v>
      </c>
    </row>
    <row r="19" spans="1:4">
      <c r="A19" s="6" t="s">
        <v>71</v>
      </c>
    </row>
    <row r="20" spans="1:4">
      <c r="A20" s="8" t="s">
        <v>72</v>
      </c>
    </row>
    <row r="21" spans="1:4">
      <c r="A21" s="8" t="s">
        <v>73</v>
      </c>
    </row>
    <row r="22" spans="1:4">
      <c r="A22" s="9" t="s">
        <v>24</v>
      </c>
    </row>
    <row r="23" spans="1:4">
      <c r="A23" s="10" t="s">
        <v>74</v>
      </c>
    </row>
    <row r="24" spans="1:4">
      <c r="A24" s="10" t="s">
        <v>75</v>
      </c>
    </row>
    <row r="25" spans="1:4">
      <c r="A25" s="10" t="s">
        <v>76</v>
      </c>
    </row>
    <row r="26" spans="1:4">
      <c r="A26" s="8" t="s">
        <v>77</v>
      </c>
    </row>
    <row r="27" spans="1:4">
      <c r="A27" s="5" t="s">
        <v>30</v>
      </c>
    </row>
    <row r="28" spans="1:4">
      <c r="A28" s="8" t="s">
        <v>78</v>
      </c>
    </row>
    <row r="29" spans="1:4">
      <c r="A29" s="7" t="s">
        <v>79</v>
      </c>
    </row>
    <row r="33" spans="1:5" ht="15.75" thickBot="1"/>
    <row r="34" spans="1:5" ht="30.75" thickBot="1">
      <c r="A34" s="17" t="s">
        <v>0</v>
      </c>
      <c r="B34" s="17" t="s">
        <v>163</v>
      </c>
      <c r="C34" s="17" t="s">
        <v>2</v>
      </c>
      <c r="D34" s="17" t="s">
        <v>3</v>
      </c>
      <c r="E34" s="17" t="s">
        <v>173</v>
      </c>
    </row>
    <row r="35" spans="1:5" ht="15.75" thickBot="1">
      <c r="A35" s="18">
        <v>101</v>
      </c>
      <c r="B35" s="18" t="s">
        <v>201</v>
      </c>
      <c r="C35" s="18" t="s">
        <v>171</v>
      </c>
      <c r="D35" s="21">
        <v>50000</v>
      </c>
      <c r="E35" s="18" t="s">
        <v>126</v>
      </c>
    </row>
    <row r="36" spans="1:5" ht="15.75" thickBot="1">
      <c r="A36" s="18">
        <v>102</v>
      </c>
      <c r="B36" s="18" t="s">
        <v>202</v>
      </c>
      <c r="C36" s="18" t="s">
        <v>172</v>
      </c>
      <c r="D36" s="21">
        <v>60000</v>
      </c>
      <c r="E36" s="18" t="s">
        <v>175</v>
      </c>
    </row>
    <row r="37" spans="1:5" ht="26.25" thickBot="1">
      <c r="A37" s="18">
        <v>103</v>
      </c>
      <c r="B37" s="18" t="s">
        <v>203</v>
      </c>
      <c r="C37" s="18" t="s">
        <v>12</v>
      </c>
      <c r="D37" s="21">
        <v>70000</v>
      </c>
      <c r="E37" s="18" t="s">
        <v>204</v>
      </c>
    </row>
    <row r="38" spans="1:5" ht="15.75" thickBot="1">
      <c r="A38" s="18">
        <v>104</v>
      </c>
      <c r="B38" s="18" t="s">
        <v>205</v>
      </c>
      <c r="C38" s="18" t="s">
        <v>6</v>
      </c>
      <c r="D38" s="21">
        <v>55000</v>
      </c>
      <c r="E38" s="18" t="s">
        <v>191</v>
      </c>
    </row>
    <row r="39" spans="1:5" ht="15.75" thickBot="1">
      <c r="A39" s="18">
        <v>105</v>
      </c>
      <c r="B39" s="18" t="s">
        <v>206</v>
      </c>
      <c r="C39" s="18" t="s">
        <v>9</v>
      </c>
      <c r="D39" s="21">
        <v>65000</v>
      </c>
      <c r="E39" s="18" t="s">
        <v>207</v>
      </c>
    </row>
    <row r="41" spans="1:5" ht="18">
      <c r="A41" s="22" t="s">
        <v>208</v>
      </c>
    </row>
    <row r="42" spans="1:5">
      <c r="A42" s="23"/>
    </row>
    <row r="43" spans="1:5">
      <c r="A43" s="24"/>
    </row>
    <row r="44" spans="1:5" ht="18">
      <c r="A44" s="22" t="s">
        <v>209</v>
      </c>
    </row>
    <row r="45" spans="1:5">
      <c r="A45" s="23"/>
    </row>
    <row r="46" spans="1:5">
      <c r="A46" s="24"/>
    </row>
    <row r="47" spans="1:5" ht="18">
      <c r="A47" s="22" t="s">
        <v>210</v>
      </c>
    </row>
    <row r="48" spans="1:5">
      <c r="A48" s="23"/>
    </row>
    <row r="49" spans="1:1">
      <c r="A49" s="24"/>
    </row>
    <row r="50" spans="1:1" ht="18">
      <c r="A50" s="22" t="s">
        <v>211</v>
      </c>
    </row>
    <row r="51" spans="1:1">
      <c r="A51" s="23"/>
    </row>
    <row r="52" spans="1:1">
      <c r="A52" s="24"/>
    </row>
    <row r="53" spans="1:1" ht="18">
      <c r="A53" s="22" t="s">
        <v>212</v>
      </c>
    </row>
    <row r="54" spans="1:1">
      <c r="A54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E07B-7C29-4CAD-B4D4-0B7693CE4381}">
  <dimension ref="A1:L117"/>
  <sheetViews>
    <sheetView topLeftCell="A22" workbookViewId="0">
      <selection activeCell="H9" sqref="H9:O12"/>
    </sheetView>
  </sheetViews>
  <sheetFormatPr defaultRowHeight="15"/>
  <cols>
    <col min="1" max="1" width="10.5703125" customWidth="1"/>
    <col min="2" max="2" width="17.28515625" customWidth="1"/>
    <col min="3" max="3" width="14.7109375" customWidth="1"/>
    <col min="10" max="10" width="9.140625" style="37"/>
  </cols>
  <sheetData>
    <row r="1" spans="1:12" ht="30">
      <c r="A1" s="1" t="s">
        <v>80</v>
      </c>
      <c r="B1" s="1" t="s">
        <v>81</v>
      </c>
      <c r="C1" s="1" t="s">
        <v>82</v>
      </c>
    </row>
    <row r="2" spans="1:12">
      <c r="A2" s="2" t="s">
        <v>83</v>
      </c>
      <c r="B2" s="2" t="s">
        <v>84</v>
      </c>
      <c r="C2" s="3">
        <v>15000</v>
      </c>
    </row>
    <row r="3" spans="1:12">
      <c r="A3" s="2" t="s">
        <v>85</v>
      </c>
      <c r="B3" s="2" t="s">
        <v>86</v>
      </c>
      <c r="C3" s="3">
        <v>12000</v>
      </c>
    </row>
    <row r="4" spans="1:12">
      <c r="A4" s="2" t="s">
        <v>83</v>
      </c>
      <c r="B4" s="2" t="s">
        <v>84</v>
      </c>
      <c r="C4" s="3">
        <v>18000</v>
      </c>
      <c r="I4" s="37"/>
    </row>
    <row r="5" spans="1:12">
      <c r="A5" s="2" t="s">
        <v>87</v>
      </c>
      <c r="B5" s="2" t="s">
        <v>86</v>
      </c>
      <c r="C5" s="3">
        <v>10000</v>
      </c>
    </row>
    <row r="6" spans="1:12">
      <c r="A6" s="2" t="s">
        <v>83</v>
      </c>
      <c r="B6" s="2" t="s">
        <v>88</v>
      </c>
      <c r="C6" s="3">
        <v>14000</v>
      </c>
      <c r="F6" t="s">
        <v>84</v>
      </c>
      <c r="I6">
        <f>SUMIF(B2:B6,F6,C2:C6)</f>
        <v>33000</v>
      </c>
      <c r="K6" s="37"/>
      <c r="L6" s="37"/>
    </row>
    <row r="7" spans="1:12">
      <c r="F7" t="s">
        <v>84</v>
      </c>
      <c r="G7" t="s">
        <v>83</v>
      </c>
      <c r="I7">
        <f>SUMIFS(C2:C6,B2:B6,F7,A2:A6,G7)</f>
        <v>33000</v>
      </c>
      <c r="K7" s="37"/>
      <c r="L7" s="37"/>
    </row>
    <row r="8" spans="1:12">
      <c r="F8" t="s">
        <v>84</v>
      </c>
      <c r="G8" t="s">
        <v>83</v>
      </c>
      <c r="H8" t="s">
        <v>265</v>
      </c>
      <c r="I8">
        <f>SUMIFS(C2:C6,B2:B6,F8,A2:A6,G8,C2:C6,H8)</f>
        <v>18000</v>
      </c>
      <c r="K8" s="37"/>
      <c r="L8" s="37"/>
    </row>
    <row r="9" spans="1:12">
      <c r="K9" s="36"/>
    </row>
    <row r="10" spans="1:12">
      <c r="I10" s="37"/>
    </row>
    <row r="11" spans="1:12" ht="16.5">
      <c r="A11" s="4" t="s">
        <v>89</v>
      </c>
    </row>
    <row r="12" spans="1:12">
      <c r="A12" s="5" t="s">
        <v>16</v>
      </c>
    </row>
    <row r="13" spans="1:12">
      <c r="A13" s="6" t="s">
        <v>90</v>
      </c>
    </row>
    <row r="14" spans="1:12">
      <c r="A14" s="9" t="s">
        <v>91</v>
      </c>
    </row>
    <row r="15" spans="1:12">
      <c r="A15" s="9" t="s">
        <v>92</v>
      </c>
    </row>
    <row r="16" spans="1:12">
      <c r="A16" s="9" t="s">
        <v>93</v>
      </c>
    </row>
    <row r="17" spans="1:3">
      <c r="A17" s="5" t="s">
        <v>18</v>
      </c>
    </row>
    <row r="18" spans="1:3">
      <c r="A18" s="6" t="s">
        <v>19</v>
      </c>
    </row>
    <row r="19" spans="1:3" ht="30">
      <c r="A19" s="1" t="s">
        <v>80</v>
      </c>
      <c r="B19" s="1" t="s">
        <v>81</v>
      </c>
      <c r="C19" s="1" t="s">
        <v>82</v>
      </c>
    </row>
    <row r="20" spans="1:3">
      <c r="A20" s="2" t="s">
        <v>83</v>
      </c>
      <c r="B20" s="2" t="s">
        <v>84</v>
      </c>
      <c r="C20" s="3">
        <v>15000</v>
      </c>
    </row>
    <row r="21" spans="1:3">
      <c r="A21" s="2" t="s">
        <v>85</v>
      </c>
      <c r="B21" s="2" t="s">
        <v>86</v>
      </c>
      <c r="C21" s="3">
        <v>12000</v>
      </c>
    </row>
    <row r="22" spans="1:3">
      <c r="A22" s="2" t="s">
        <v>83</v>
      </c>
      <c r="B22" s="2" t="s">
        <v>84</v>
      </c>
      <c r="C22" s="3">
        <v>18000</v>
      </c>
    </row>
    <row r="23" spans="1:3">
      <c r="A23" s="2" t="s">
        <v>87</v>
      </c>
      <c r="B23" s="2" t="s">
        <v>86</v>
      </c>
      <c r="C23" s="3">
        <v>10000</v>
      </c>
    </row>
    <row r="24" spans="1:3">
      <c r="A24" s="2" t="s">
        <v>83</v>
      </c>
      <c r="B24" s="2" t="s">
        <v>88</v>
      </c>
      <c r="C24" s="3">
        <v>14000</v>
      </c>
    </row>
    <row r="25" spans="1:3">
      <c r="A25" s="5" t="s">
        <v>20</v>
      </c>
    </row>
    <row r="26" spans="1:3">
      <c r="A26" s="9" t="s">
        <v>94</v>
      </c>
    </row>
    <row r="27" spans="1:3">
      <c r="A27" s="14"/>
    </row>
    <row r="28" spans="1:3">
      <c r="A28" s="15" t="s">
        <v>95</v>
      </c>
    </row>
    <row r="29" spans="1:3">
      <c r="A29" s="15" t="s">
        <v>96</v>
      </c>
    </row>
    <row r="30" spans="1:3">
      <c r="A30" s="9" t="s">
        <v>97</v>
      </c>
    </row>
    <row r="31" spans="1:3">
      <c r="A31" s="14"/>
    </row>
    <row r="32" spans="1:3">
      <c r="A32" s="15" t="s">
        <v>98</v>
      </c>
    </row>
    <row r="33" spans="1:6">
      <c r="A33" s="15" t="s">
        <v>99</v>
      </c>
    </row>
    <row r="34" spans="1:6">
      <c r="A34" s="9" t="s">
        <v>100</v>
      </c>
    </row>
    <row r="35" spans="1:6">
      <c r="A35" s="14"/>
    </row>
    <row r="36" spans="1:6">
      <c r="A36" s="15" t="s">
        <v>101</v>
      </c>
    </row>
    <row r="37" spans="1:6">
      <c r="A37" s="15" t="s">
        <v>102</v>
      </c>
    </row>
    <row r="38" spans="1:6">
      <c r="A38" s="5" t="s">
        <v>30</v>
      </c>
    </row>
    <row r="39" spans="1:6">
      <c r="A39" s="8" t="s">
        <v>103</v>
      </c>
    </row>
    <row r="40" spans="1:6">
      <c r="A40" s="8" t="s">
        <v>104</v>
      </c>
    </row>
    <row r="41" spans="1:6" ht="15.75">
      <c r="A41" s="11" t="s">
        <v>105</v>
      </c>
    </row>
    <row r="45" spans="1:6" ht="15.75" thickBot="1"/>
    <row r="46" spans="1:6" ht="45.75" thickBot="1">
      <c r="A46" s="17" t="s">
        <v>213</v>
      </c>
      <c r="B46" s="17" t="s">
        <v>2</v>
      </c>
      <c r="C46" s="17" t="s">
        <v>214</v>
      </c>
      <c r="D46" s="17" t="s">
        <v>215</v>
      </c>
      <c r="E46" s="17" t="s">
        <v>216</v>
      </c>
      <c r="F46" s="17" t="s">
        <v>80</v>
      </c>
    </row>
    <row r="47" spans="1:6" ht="26.25" thickBot="1">
      <c r="A47" s="25">
        <v>45662</v>
      </c>
      <c r="B47" s="26" t="s">
        <v>9</v>
      </c>
      <c r="C47" s="26" t="s">
        <v>217</v>
      </c>
      <c r="D47" s="26">
        <v>850</v>
      </c>
      <c r="E47" s="26" t="s">
        <v>218</v>
      </c>
      <c r="F47" s="26" t="s">
        <v>87</v>
      </c>
    </row>
    <row r="48" spans="1:6" ht="26.25" thickBot="1">
      <c r="A48" s="25">
        <v>45665</v>
      </c>
      <c r="B48" s="26" t="s">
        <v>6</v>
      </c>
      <c r="C48" s="26" t="s">
        <v>219</v>
      </c>
      <c r="D48" s="26">
        <v>1200</v>
      </c>
      <c r="E48" s="26" t="s">
        <v>220</v>
      </c>
      <c r="F48" s="26" t="s">
        <v>221</v>
      </c>
    </row>
    <row r="49" spans="1:6" ht="26.25" thickBot="1">
      <c r="A49" s="25">
        <v>45672</v>
      </c>
      <c r="B49" s="26" t="s">
        <v>171</v>
      </c>
      <c r="C49" s="26" t="s">
        <v>222</v>
      </c>
      <c r="D49" s="26">
        <v>5000</v>
      </c>
      <c r="E49" s="26" t="s">
        <v>220</v>
      </c>
      <c r="F49" s="26" t="s">
        <v>83</v>
      </c>
    </row>
    <row r="50" spans="1:6" ht="26.25" thickBot="1">
      <c r="A50" s="25">
        <v>45677</v>
      </c>
      <c r="B50" s="26" t="s">
        <v>12</v>
      </c>
      <c r="C50" s="26" t="s">
        <v>223</v>
      </c>
      <c r="D50" s="26">
        <v>300</v>
      </c>
      <c r="E50" s="26" t="s">
        <v>218</v>
      </c>
      <c r="F50" s="26" t="s">
        <v>85</v>
      </c>
    </row>
    <row r="51" spans="1:6" ht="15.75" thickBot="1">
      <c r="A51" s="25">
        <v>45685</v>
      </c>
      <c r="B51" s="26" t="s">
        <v>224</v>
      </c>
      <c r="C51" s="26" t="s">
        <v>225</v>
      </c>
      <c r="D51" s="26">
        <v>700</v>
      </c>
      <c r="E51" s="26" t="s">
        <v>226</v>
      </c>
      <c r="F51" s="26" t="s">
        <v>87</v>
      </c>
    </row>
    <row r="52" spans="1:6" ht="26.25" thickBot="1">
      <c r="A52" s="25">
        <v>45692</v>
      </c>
      <c r="B52" s="26" t="s">
        <v>9</v>
      </c>
      <c r="C52" s="26" t="s">
        <v>222</v>
      </c>
      <c r="D52" s="26">
        <v>4800</v>
      </c>
      <c r="E52" s="26" t="s">
        <v>220</v>
      </c>
      <c r="F52" s="26" t="s">
        <v>87</v>
      </c>
    </row>
    <row r="53" spans="1:6" ht="26.25" thickBot="1">
      <c r="A53" s="25">
        <v>45698</v>
      </c>
      <c r="B53" s="26" t="s">
        <v>6</v>
      </c>
      <c r="C53" s="26" t="s">
        <v>217</v>
      </c>
      <c r="D53" s="26">
        <v>950</v>
      </c>
      <c r="E53" s="26" t="s">
        <v>218</v>
      </c>
      <c r="F53" s="26" t="s">
        <v>221</v>
      </c>
    </row>
    <row r="54" spans="1:6" ht="26.25" thickBot="1">
      <c r="A54" s="25">
        <v>45706</v>
      </c>
      <c r="B54" s="26" t="s">
        <v>171</v>
      </c>
      <c r="C54" s="26" t="s">
        <v>223</v>
      </c>
      <c r="D54" s="26">
        <v>400</v>
      </c>
      <c r="E54" s="26" t="s">
        <v>218</v>
      </c>
      <c r="F54" s="26" t="s">
        <v>83</v>
      </c>
    </row>
    <row r="55" spans="1:6" ht="26.25" thickBot="1">
      <c r="A55" s="25">
        <v>45711</v>
      </c>
      <c r="B55" s="26" t="s">
        <v>12</v>
      </c>
      <c r="C55" s="26" t="s">
        <v>219</v>
      </c>
      <c r="D55" s="26">
        <v>2500</v>
      </c>
      <c r="E55" s="26" t="s">
        <v>220</v>
      </c>
      <c r="F55" s="26" t="s">
        <v>85</v>
      </c>
    </row>
    <row r="56" spans="1:6" ht="26.25" thickBot="1">
      <c r="A56" s="25">
        <v>45715</v>
      </c>
      <c r="B56" s="26" t="s">
        <v>224</v>
      </c>
      <c r="C56" s="26" t="s">
        <v>225</v>
      </c>
      <c r="D56" s="26">
        <v>750</v>
      </c>
      <c r="E56" s="26" t="s">
        <v>220</v>
      </c>
      <c r="F56" s="26" t="s">
        <v>87</v>
      </c>
    </row>
    <row r="58" spans="1:6" ht="18">
      <c r="B58" s="27" t="s">
        <v>233</v>
      </c>
    </row>
    <row r="59" spans="1:6" ht="18">
      <c r="A59" s="27" t="s">
        <v>227</v>
      </c>
    </row>
    <row r="60" spans="1:6" ht="18">
      <c r="A60" s="27" t="s">
        <v>228</v>
      </c>
    </row>
    <row r="61" spans="1:6" ht="18">
      <c r="A61" s="27" t="s">
        <v>229</v>
      </c>
    </row>
    <row r="62" spans="1:6" ht="18">
      <c r="A62" s="27" t="s">
        <v>230</v>
      </c>
    </row>
    <row r="63" spans="1:6" ht="18">
      <c r="A63" s="27" t="s">
        <v>231</v>
      </c>
    </row>
    <row r="64" spans="1:6" ht="18">
      <c r="A64" s="27"/>
    </row>
    <row r="65" spans="1:2" ht="18">
      <c r="B65" s="27" t="s">
        <v>234</v>
      </c>
    </row>
    <row r="66" spans="1:2" ht="18">
      <c r="A66" s="27" t="s">
        <v>232</v>
      </c>
    </row>
    <row r="67" spans="1:2" ht="18">
      <c r="A67" s="27" t="s">
        <v>235</v>
      </c>
    </row>
    <row r="68" spans="1:2" ht="18">
      <c r="A68" s="27" t="s">
        <v>236</v>
      </c>
    </row>
    <row r="70" spans="1:2" ht="18">
      <c r="B70" s="27" t="s">
        <v>240</v>
      </c>
    </row>
    <row r="71" spans="1:2" ht="18">
      <c r="B71" s="27"/>
    </row>
    <row r="72" spans="1:2" ht="18">
      <c r="A72" s="27" t="s">
        <v>237</v>
      </c>
      <c r="B72" s="27"/>
    </row>
    <row r="73" spans="1:2" ht="18">
      <c r="A73" s="27" t="s">
        <v>238</v>
      </c>
      <c r="B73" s="27"/>
    </row>
    <row r="74" spans="1:2" ht="18">
      <c r="A74" s="27" t="s">
        <v>239</v>
      </c>
      <c r="B74" s="27"/>
    </row>
    <row r="92" spans="1:1">
      <c r="A92" s="28"/>
    </row>
    <row r="93" spans="1:1">
      <c r="A93" s="28"/>
    </row>
    <row r="94" spans="1:1">
      <c r="A94" s="28"/>
    </row>
    <row r="95" spans="1:1">
      <c r="A95" s="28"/>
    </row>
    <row r="96" spans="1:1">
      <c r="A96" s="28"/>
    </row>
    <row r="97" spans="1:1">
      <c r="A97" s="28"/>
    </row>
    <row r="101" spans="1:1">
      <c r="A101" s="29"/>
    </row>
    <row r="102" spans="1:1">
      <c r="A102" s="30"/>
    </row>
    <row r="103" spans="1:1">
      <c r="A103" s="31"/>
    </row>
    <row r="108" spans="1:1">
      <c r="A108" s="29"/>
    </row>
    <row r="109" spans="1:1">
      <c r="A109" s="30"/>
    </row>
    <row r="110" spans="1:1">
      <c r="A110" s="31"/>
    </row>
    <row r="115" spans="1:1">
      <c r="A115" s="29"/>
    </row>
    <row r="116" spans="1:1">
      <c r="A116" s="30"/>
    </row>
    <row r="117" spans="1:1">
      <c r="A117" s="31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0087-A803-471D-B356-F3B739A7F3C8}">
  <dimension ref="A1:T31"/>
  <sheetViews>
    <sheetView tabSelected="1" workbookViewId="0">
      <selection activeCell="C3" sqref="C3"/>
    </sheetView>
  </sheetViews>
  <sheetFormatPr defaultRowHeight="15"/>
  <cols>
    <col min="1" max="1" width="16.140625" customWidth="1"/>
    <col min="2" max="2" width="14.85546875" customWidth="1"/>
    <col min="10" max="10" width="13.5703125" customWidth="1"/>
    <col min="12" max="12" width="12.85546875" customWidth="1"/>
    <col min="13" max="13" width="12.28515625" customWidth="1"/>
    <col min="15" max="15" width="11.85546875" customWidth="1"/>
    <col min="16" max="16" width="26.5703125" bestFit="1" customWidth="1"/>
    <col min="18" max="18" width="24.140625" bestFit="1" customWidth="1"/>
    <col min="20" max="20" width="44" bestFit="1" customWidth="1"/>
  </cols>
  <sheetData>
    <row r="1" spans="1:20" ht="30">
      <c r="A1" s="1" t="s">
        <v>106</v>
      </c>
      <c r="B1" s="1" t="s">
        <v>107</v>
      </c>
      <c r="J1" s="32" t="s">
        <v>0</v>
      </c>
      <c r="K1" s="32" t="s">
        <v>163</v>
      </c>
      <c r="L1" s="32" t="s">
        <v>2</v>
      </c>
      <c r="M1" s="32" t="s">
        <v>266</v>
      </c>
      <c r="N1" s="32" t="s">
        <v>3</v>
      </c>
      <c r="O1" s="32" t="s">
        <v>267</v>
      </c>
    </row>
    <row r="2" spans="1:20">
      <c r="A2" s="2" t="s">
        <v>108</v>
      </c>
      <c r="B2" s="2">
        <v>92</v>
      </c>
      <c r="C2" t="str">
        <f>IF(B2&gt;=90,"A",IF(B2&gt;=80,"B",IF(B2&gt;=70,"C",IF(B2&gt;=60,"D","Fail"))))</f>
        <v>A</v>
      </c>
      <c r="D2" t="str" cm="1">
        <f t="array" ref="D2">_xlfn.IFS(B2&gt;=90,"A",B2&gt;=80,"B",B2&gt;=70,"C",TRUE,"NO grade")</f>
        <v>A</v>
      </c>
      <c r="J2" s="33" t="s">
        <v>4</v>
      </c>
      <c r="K2" s="33" t="s">
        <v>268</v>
      </c>
      <c r="L2" s="33" t="s">
        <v>12</v>
      </c>
      <c r="M2" s="33">
        <v>1</v>
      </c>
      <c r="N2" s="33">
        <v>18000</v>
      </c>
      <c r="O2" s="33" t="s">
        <v>269</v>
      </c>
    </row>
    <row r="3" spans="1:20">
      <c r="A3" s="2" t="s">
        <v>109</v>
      </c>
      <c r="B3" s="2">
        <v>78</v>
      </c>
      <c r="C3" t="str">
        <f t="shared" ref="C3:C7" si="0">IF(B3&gt;=90,"A",IF(B3&gt;=80,"B",IF(B3&gt;=70,"C",IF(B3&gt;=60,"D","Fail"))))</f>
        <v>C</v>
      </c>
      <c r="D3" t="str" cm="1">
        <f t="array" ref="D3">_xlfn.IFS(B3&gt;=90,"A",B3&gt;=80,"B",B3&gt;=70,"C",TRUE,"NO grade")</f>
        <v>C</v>
      </c>
      <c r="J3" s="33" t="s">
        <v>7</v>
      </c>
      <c r="K3" s="33" t="s">
        <v>270</v>
      </c>
      <c r="L3" s="33" t="s">
        <v>171</v>
      </c>
      <c r="M3" s="33">
        <v>3</v>
      </c>
      <c r="N3" s="33">
        <v>25000</v>
      </c>
      <c r="O3" s="33" t="s">
        <v>269</v>
      </c>
    </row>
    <row r="4" spans="1:20">
      <c r="A4" s="2" t="s">
        <v>110</v>
      </c>
      <c r="B4" s="2">
        <v>85</v>
      </c>
      <c r="C4" t="str">
        <f t="shared" si="0"/>
        <v>B</v>
      </c>
      <c r="D4" t="str" cm="1">
        <f t="array" ref="D4">_xlfn.IFS(B4&gt;=90,"A",B4&gt;=80,"B",B4&gt;=70,"C",TRUE,"NO grade")</f>
        <v>B</v>
      </c>
      <c r="J4" s="33" t="s">
        <v>10</v>
      </c>
      <c r="K4" s="33" t="s">
        <v>271</v>
      </c>
      <c r="L4" s="33" t="s">
        <v>12</v>
      </c>
      <c r="M4" s="33">
        <v>5</v>
      </c>
      <c r="N4" s="33">
        <v>42000</v>
      </c>
      <c r="O4" s="33" t="s">
        <v>272</v>
      </c>
    </row>
    <row r="5" spans="1:20">
      <c r="A5" s="2" t="s">
        <v>111</v>
      </c>
      <c r="B5" s="2">
        <v>65</v>
      </c>
      <c r="C5" t="str">
        <f t="shared" si="0"/>
        <v>D</v>
      </c>
      <c r="D5" t="str" cm="1">
        <f t="array" ref="D5">_xlfn.IFS(B5&gt;=90,"A",B5&gt;=80,"B",B5&gt;=70,"C",TRUE,"NO grade")</f>
        <v>NO grade</v>
      </c>
      <c r="J5" s="33" t="s">
        <v>13</v>
      </c>
      <c r="K5" s="33" t="s">
        <v>273</v>
      </c>
      <c r="L5" s="33" t="s">
        <v>9</v>
      </c>
      <c r="M5" s="33">
        <v>2</v>
      </c>
      <c r="N5" s="33">
        <v>22000</v>
      </c>
      <c r="O5" s="33" t="s">
        <v>269</v>
      </c>
    </row>
    <row r="6" spans="1:20">
      <c r="B6" s="2">
        <v>50</v>
      </c>
      <c r="C6" t="str">
        <f t="shared" si="0"/>
        <v>Fail</v>
      </c>
      <c r="D6" t="str" cm="1">
        <f t="array" ref="D6">_xlfn.IFS(B6&gt;=90,"A",B6&gt;=80,"B",B6&gt;=70,"C",TRUE,"NO grade")</f>
        <v>NO grade</v>
      </c>
      <c r="J6" s="33" t="s">
        <v>274</v>
      </c>
      <c r="K6" s="33" t="s">
        <v>275</v>
      </c>
      <c r="L6" s="33" t="s">
        <v>171</v>
      </c>
      <c r="M6" s="33">
        <v>6</v>
      </c>
      <c r="N6" s="33">
        <v>50000</v>
      </c>
      <c r="O6" s="33" t="s">
        <v>269</v>
      </c>
    </row>
    <row r="7" spans="1:20">
      <c r="B7" s="2">
        <v>40</v>
      </c>
      <c r="C7" t="str">
        <f t="shared" si="0"/>
        <v>Fail</v>
      </c>
      <c r="D7" t="str" cm="1">
        <f t="array" ref="D7">_xlfn.IFS(B7&gt;=90,"A",B7&gt;=80,"B",B7&gt;=70,"C",TRUE,"NO grade")</f>
        <v>NO grade</v>
      </c>
      <c r="J7" s="33" t="s">
        <v>276</v>
      </c>
      <c r="K7" s="33" t="s">
        <v>277</v>
      </c>
      <c r="L7" s="33" t="s">
        <v>9</v>
      </c>
      <c r="M7" s="33">
        <v>4</v>
      </c>
      <c r="N7" s="33">
        <v>35000</v>
      </c>
      <c r="O7" s="33" t="s">
        <v>272</v>
      </c>
    </row>
    <row r="8" spans="1:20">
      <c r="J8" s="33" t="s">
        <v>278</v>
      </c>
      <c r="K8" s="33" t="s">
        <v>279</v>
      </c>
      <c r="L8" s="33" t="s">
        <v>12</v>
      </c>
      <c r="M8" s="33">
        <v>7</v>
      </c>
      <c r="N8" s="33">
        <v>60000</v>
      </c>
      <c r="O8" s="33" t="s">
        <v>269</v>
      </c>
    </row>
    <row r="10" spans="1:20" ht="18">
      <c r="P10" s="34" t="s">
        <v>280</v>
      </c>
      <c r="R10" s="34" t="s">
        <v>286</v>
      </c>
      <c r="T10" s="34" t="s">
        <v>290</v>
      </c>
    </row>
    <row r="11" spans="1:20" ht="16.5">
      <c r="A11" s="4" t="s">
        <v>112</v>
      </c>
    </row>
    <row r="12" spans="1:20">
      <c r="A12" s="5" t="s">
        <v>16</v>
      </c>
      <c r="P12" s="29" t="s">
        <v>281</v>
      </c>
      <c r="R12" s="29" t="s">
        <v>281</v>
      </c>
      <c r="T12" s="29" t="s">
        <v>281</v>
      </c>
    </row>
    <row r="13" spans="1:20">
      <c r="A13" s="6" t="s">
        <v>113</v>
      </c>
      <c r="P13" s="35"/>
      <c r="R13" s="35"/>
      <c r="T13" s="35"/>
    </row>
    <row r="14" spans="1:20">
      <c r="A14" s="5" t="s">
        <v>18</v>
      </c>
      <c r="P14" s="35" t="s">
        <v>282</v>
      </c>
      <c r="R14" s="35" t="s">
        <v>287</v>
      </c>
      <c r="T14" s="35" t="s">
        <v>291</v>
      </c>
    </row>
    <row r="15" spans="1:20">
      <c r="A15" s="6" t="s">
        <v>19</v>
      </c>
      <c r="P15" s="35"/>
      <c r="R15" s="35"/>
      <c r="T15" s="35"/>
    </row>
    <row r="16" spans="1:20">
      <c r="A16" s="1" t="s">
        <v>106</v>
      </c>
      <c r="B16" s="1" t="s">
        <v>107</v>
      </c>
      <c r="P16" s="35" t="s">
        <v>283</v>
      </c>
      <c r="R16" s="35" t="s">
        <v>288</v>
      </c>
      <c r="T16" s="35" t="s">
        <v>292</v>
      </c>
    </row>
    <row r="17" spans="1:18">
      <c r="A17" s="2" t="s">
        <v>108</v>
      </c>
      <c r="B17" s="2">
        <v>92</v>
      </c>
      <c r="P17" s="35"/>
      <c r="R17" s="35"/>
    </row>
    <row r="18" spans="1:18">
      <c r="A18" s="2" t="s">
        <v>109</v>
      </c>
      <c r="B18" s="2">
        <v>78</v>
      </c>
      <c r="P18" s="35" t="s">
        <v>284</v>
      </c>
      <c r="R18" s="35" t="s">
        <v>289</v>
      </c>
    </row>
    <row r="19" spans="1:18">
      <c r="A19" s="2" t="s">
        <v>110</v>
      </c>
      <c r="B19" s="2">
        <v>85</v>
      </c>
      <c r="P19" s="35"/>
    </row>
    <row r="20" spans="1:18">
      <c r="A20" s="2" t="s">
        <v>111</v>
      </c>
      <c r="B20" s="2">
        <v>65</v>
      </c>
      <c r="P20" s="35" t="s">
        <v>285</v>
      </c>
    </row>
    <row r="21" spans="1:18">
      <c r="A21" s="5" t="s">
        <v>20</v>
      </c>
    </row>
    <row r="22" spans="1:18">
      <c r="A22" s="6" t="s">
        <v>114</v>
      </c>
    </row>
    <row r="23" spans="1:18" ht="18">
      <c r="A23" s="8" t="s">
        <v>115</v>
      </c>
      <c r="P23" s="43" t="s">
        <v>293</v>
      </c>
    </row>
    <row r="24" spans="1:18">
      <c r="A24" s="12" t="str" cm="1">
        <f t="array" ref="A24">_xlfn.IFS(B2&gt;=90, "A", B2&gt;=80, "B", B2&gt;=70, "C", B2&gt;=60, "D", TRUE, "F")</f>
        <v>A</v>
      </c>
    </row>
    <row r="25" spans="1:18">
      <c r="A25" s="9" t="s">
        <v>116</v>
      </c>
      <c r="P25" s="41" t="s">
        <v>281</v>
      </c>
    </row>
    <row r="26" spans="1:18">
      <c r="A26" s="8" t="s">
        <v>117</v>
      </c>
      <c r="P26" s="44"/>
    </row>
    <row r="27" spans="1:18">
      <c r="A27" s="5" t="s">
        <v>30</v>
      </c>
      <c r="P27" s="44" t="s">
        <v>294</v>
      </c>
    </row>
    <row r="28" spans="1:18">
      <c r="A28" s="8" t="s">
        <v>118</v>
      </c>
      <c r="P28" s="44"/>
    </row>
    <row r="29" spans="1:18">
      <c r="A29" s="8" t="s">
        <v>119</v>
      </c>
      <c r="P29" s="44" t="s">
        <v>295</v>
      </c>
    </row>
    <row r="30" spans="1:18">
      <c r="A30" s="8" t="s">
        <v>120</v>
      </c>
      <c r="P30" s="44"/>
    </row>
    <row r="31" spans="1:18">
      <c r="P31" s="44" t="s"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2213-EBA3-4E01-8913-E7422C0CF11B}">
  <dimension ref="A1:R31"/>
  <sheetViews>
    <sheetView workbookViewId="0">
      <selection activeCell="A31" sqref="A31"/>
    </sheetView>
  </sheetViews>
  <sheetFormatPr defaultRowHeight="15"/>
  <cols>
    <col min="2" max="2" width="14.140625" customWidth="1"/>
    <col min="3" max="3" width="13" customWidth="1"/>
    <col min="11" max="11" width="10.42578125" customWidth="1"/>
    <col min="13" max="13" width="15.7109375" customWidth="1"/>
    <col min="15" max="15" width="11.5703125" customWidth="1"/>
    <col min="16" max="16" width="12" customWidth="1"/>
    <col min="18" max="18" width="9.140625" style="40"/>
  </cols>
  <sheetData>
    <row r="1" spans="1:18" ht="30.75" thickBot="1">
      <c r="A1" s="1" t="s">
        <v>121</v>
      </c>
      <c r="B1" s="1" t="s">
        <v>122</v>
      </c>
      <c r="C1" s="1" t="s">
        <v>123</v>
      </c>
      <c r="K1" s="39" t="s">
        <v>297</v>
      </c>
      <c r="L1" s="39" t="s">
        <v>58</v>
      </c>
      <c r="M1" s="39" t="s">
        <v>298</v>
      </c>
      <c r="N1" s="39" t="s">
        <v>80</v>
      </c>
      <c r="O1" s="39" t="s">
        <v>9</v>
      </c>
      <c r="Q1" s="47"/>
    </row>
    <row r="2" spans="1:18" ht="15.75" thickBot="1">
      <c r="A2" s="2" t="s">
        <v>124</v>
      </c>
      <c r="B2" s="16">
        <v>6000000</v>
      </c>
      <c r="C2" s="2" t="s">
        <v>125</v>
      </c>
      <c r="K2" s="45">
        <v>101</v>
      </c>
      <c r="L2" s="45" t="s">
        <v>299</v>
      </c>
      <c r="M2" s="45" t="s">
        <v>300</v>
      </c>
      <c r="N2" s="45" t="s">
        <v>83</v>
      </c>
      <c r="O2" s="45">
        <v>5000</v>
      </c>
    </row>
    <row r="3" spans="1:18" ht="29.25" thickBot="1">
      <c r="A3" s="2" t="s">
        <v>126</v>
      </c>
      <c r="B3" s="16">
        <v>8400000</v>
      </c>
      <c r="C3" s="2" t="s">
        <v>127</v>
      </c>
      <c r="F3" s="38"/>
      <c r="K3" s="45">
        <v>102</v>
      </c>
      <c r="L3" s="45" t="s">
        <v>301</v>
      </c>
      <c r="M3" s="45" t="s">
        <v>300</v>
      </c>
      <c r="N3" s="45" t="s">
        <v>85</v>
      </c>
      <c r="O3" s="45">
        <v>3000</v>
      </c>
      <c r="Q3" s="48"/>
    </row>
    <row r="4" spans="1:18" ht="15.75" thickBot="1">
      <c r="A4" s="2" t="s">
        <v>128</v>
      </c>
      <c r="B4" s="16">
        <v>9000000</v>
      </c>
      <c r="C4" s="2" t="s">
        <v>129</v>
      </c>
      <c r="K4" s="45">
        <v>103</v>
      </c>
      <c r="L4" s="45" t="s">
        <v>302</v>
      </c>
      <c r="M4" s="45" t="s">
        <v>303</v>
      </c>
      <c r="N4" s="45" t="s">
        <v>87</v>
      </c>
      <c r="O4" s="45">
        <v>1500</v>
      </c>
      <c r="Q4" s="48"/>
    </row>
    <row r="5" spans="1:18" ht="15.75" thickBot="1">
      <c r="A5" s="2" t="s">
        <v>130</v>
      </c>
      <c r="B5" s="16">
        <v>5300000</v>
      </c>
      <c r="C5" s="2" t="s">
        <v>131</v>
      </c>
      <c r="E5" s="38"/>
      <c r="K5" s="45">
        <v>104</v>
      </c>
      <c r="L5" s="45" t="s">
        <v>304</v>
      </c>
      <c r="M5" s="45" t="s">
        <v>303</v>
      </c>
      <c r="N5" s="45" t="s">
        <v>221</v>
      </c>
      <c r="O5" s="45">
        <v>2500</v>
      </c>
    </row>
    <row r="6" spans="1:18" ht="15.75" thickBot="1">
      <c r="K6" s="45">
        <v>105</v>
      </c>
      <c r="L6" s="45" t="s">
        <v>305</v>
      </c>
      <c r="M6" s="45" t="s">
        <v>300</v>
      </c>
      <c r="N6" s="45" t="s">
        <v>83</v>
      </c>
      <c r="O6" s="45">
        <v>4000</v>
      </c>
    </row>
    <row r="7" spans="1:18" ht="18">
      <c r="R7" s="46" t="s">
        <v>306</v>
      </c>
    </row>
    <row r="8" spans="1:18" ht="18">
      <c r="E8" s="38"/>
      <c r="R8" s="46" t="s">
        <v>307</v>
      </c>
    </row>
    <row r="9" spans="1:18" ht="18">
      <c r="R9" s="46" t="s">
        <v>308</v>
      </c>
    </row>
    <row r="10" spans="1:18" ht="18">
      <c r="R10" s="46" t="s">
        <v>309</v>
      </c>
    </row>
    <row r="11" spans="1:18" ht="18">
      <c r="A11" s="4" t="s">
        <v>132</v>
      </c>
      <c r="R11" s="46" t="s">
        <v>310</v>
      </c>
    </row>
    <row r="12" spans="1:18" ht="18">
      <c r="A12" s="5" t="s">
        <v>16</v>
      </c>
      <c r="R12" s="46" t="s">
        <v>311</v>
      </c>
    </row>
    <row r="13" spans="1:18" ht="18">
      <c r="A13" s="6" t="s">
        <v>133</v>
      </c>
      <c r="R13" s="46" t="s">
        <v>312</v>
      </c>
    </row>
    <row r="14" spans="1:18" ht="18">
      <c r="A14" s="5" t="s">
        <v>18</v>
      </c>
      <c r="R14" s="46" t="s">
        <v>313</v>
      </c>
    </row>
    <row r="15" spans="1:18" ht="18">
      <c r="A15" s="6" t="s">
        <v>19</v>
      </c>
      <c r="R15" s="46" t="s">
        <v>314</v>
      </c>
    </row>
    <row r="16" spans="1:18" ht="18">
      <c r="A16" s="1" t="s">
        <v>121</v>
      </c>
      <c r="B16" s="1" t="s">
        <v>122</v>
      </c>
      <c r="C16" s="1" t="s">
        <v>123</v>
      </c>
      <c r="R16" s="46" t="s">
        <v>315</v>
      </c>
    </row>
    <row r="17" spans="1:3">
      <c r="A17" s="2" t="s">
        <v>124</v>
      </c>
      <c r="B17" s="16">
        <v>6000000</v>
      </c>
      <c r="C17" s="2" t="s">
        <v>125</v>
      </c>
    </row>
    <row r="18" spans="1:3" ht="28.5">
      <c r="A18" s="2" t="s">
        <v>126</v>
      </c>
      <c r="B18" s="16">
        <v>8400000</v>
      </c>
      <c r="C18" s="2" t="s">
        <v>127</v>
      </c>
    </row>
    <row r="19" spans="1:3">
      <c r="A19" s="2" t="s">
        <v>128</v>
      </c>
      <c r="B19" s="16">
        <v>9000000</v>
      </c>
      <c r="C19" s="2" t="s">
        <v>129</v>
      </c>
    </row>
    <row r="20" spans="1:3">
      <c r="A20" s="2" t="s">
        <v>130</v>
      </c>
      <c r="B20" s="16">
        <v>5300000</v>
      </c>
      <c r="C20" s="2" t="s">
        <v>131</v>
      </c>
    </row>
    <row r="21" spans="1:3">
      <c r="A21" s="5" t="s">
        <v>20</v>
      </c>
    </row>
    <row r="22" spans="1:3">
      <c r="A22" s="6" t="s">
        <v>134</v>
      </c>
    </row>
    <row r="23" spans="1:3">
      <c r="A23" s="8" t="s">
        <v>135</v>
      </c>
    </row>
    <row r="24" spans="1:3">
      <c r="A24" s="8" t="s">
        <v>136</v>
      </c>
    </row>
    <row r="25" spans="1:3">
      <c r="A25" s="9" t="s">
        <v>24</v>
      </c>
    </row>
    <row r="26" spans="1:3">
      <c r="A26" s="10" t="s">
        <v>137</v>
      </c>
    </row>
    <row r="27" spans="1:3">
      <c r="A27" s="10" t="s">
        <v>138</v>
      </c>
    </row>
    <row r="28" spans="1:3">
      <c r="A28" s="8" t="s">
        <v>139</v>
      </c>
    </row>
    <row r="29" spans="1:3">
      <c r="A29" s="5" t="s">
        <v>30</v>
      </c>
    </row>
    <row r="30" spans="1:3">
      <c r="A30" s="8" t="s">
        <v>140</v>
      </c>
    </row>
    <row r="31" spans="1:3">
      <c r="A31" s="8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248D-B1DB-41B6-A7CF-104B77DD1349}">
  <dimension ref="A1:B32"/>
  <sheetViews>
    <sheetView workbookViewId="0">
      <selection activeCell="D1" sqref="D1:E4"/>
    </sheetView>
  </sheetViews>
  <sheetFormatPr defaultRowHeight="15"/>
  <cols>
    <col min="1" max="1" width="11" customWidth="1"/>
    <col min="2" max="2" width="15.85546875" customWidth="1"/>
  </cols>
  <sheetData>
    <row r="1" spans="1:2" ht="30">
      <c r="A1" s="1" t="s">
        <v>142</v>
      </c>
      <c r="B1" s="1" t="s">
        <v>143</v>
      </c>
    </row>
    <row r="2" spans="1:2">
      <c r="A2" s="2" t="s">
        <v>144</v>
      </c>
      <c r="B2" s="2" t="s">
        <v>145</v>
      </c>
    </row>
    <row r="3" spans="1:2">
      <c r="A3" s="2" t="s">
        <v>146</v>
      </c>
      <c r="B3" s="2" t="s">
        <v>147</v>
      </c>
    </row>
    <row r="4" spans="1:2">
      <c r="A4" s="2" t="s">
        <v>148</v>
      </c>
      <c r="B4" s="2" t="s">
        <v>149</v>
      </c>
    </row>
    <row r="6" spans="1:2">
      <c r="A6" s="38"/>
    </row>
    <row r="10" spans="1:2" ht="16.5">
      <c r="A10" s="4" t="s">
        <v>150</v>
      </c>
    </row>
    <row r="11" spans="1:2">
      <c r="A11" s="5" t="s">
        <v>16</v>
      </c>
    </row>
    <row r="12" spans="1:2">
      <c r="A12" s="6" t="s">
        <v>151</v>
      </c>
    </row>
    <row r="13" spans="1:2">
      <c r="A13" s="9" t="s">
        <v>152</v>
      </c>
    </row>
    <row r="14" spans="1:2">
      <c r="A14" s="9" t="s">
        <v>153</v>
      </c>
    </row>
    <row r="15" spans="1:2">
      <c r="A15" s="5" t="s">
        <v>18</v>
      </c>
    </row>
    <row r="16" spans="1:2">
      <c r="A16" s="6" t="s">
        <v>19</v>
      </c>
    </row>
    <row r="17" spans="1:2" ht="30">
      <c r="A17" s="1" t="s">
        <v>142</v>
      </c>
      <c r="B17" s="1" t="s">
        <v>143</v>
      </c>
    </row>
    <row r="18" spans="1:2">
      <c r="A18" s="2" t="s">
        <v>144</v>
      </c>
      <c r="B18" s="2" t="s">
        <v>145</v>
      </c>
    </row>
    <row r="19" spans="1:2">
      <c r="A19" s="2" t="s">
        <v>146</v>
      </c>
      <c r="B19" s="2" t="s">
        <v>147</v>
      </c>
    </row>
    <row r="20" spans="1:2">
      <c r="A20" s="2" t="s">
        <v>148</v>
      </c>
      <c r="B20" s="2" t="s">
        <v>149</v>
      </c>
    </row>
    <row r="21" spans="1:2">
      <c r="A21" s="5" t="s">
        <v>20</v>
      </c>
    </row>
    <row r="22" spans="1:2">
      <c r="A22" s="8" t="s">
        <v>154</v>
      </c>
    </row>
    <row r="23" spans="1:2">
      <c r="A23" s="8" t="s">
        <v>155</v>
      </c>
    </row>
    <row r="24" spans="1:2">
      <c r="A24" s="8" t="s">
        <v>156</v>
      </c>
    </row>
    <row r="25" spans="1:2">
      <c r="A25" s="8" t="s">
        <v>157</v>
      </c>
    </row>
    <row r="26" spans="1:2">
      <c r="A26" s="12" t="str">
        <f>IFERROR(VLOOKUP(B5, A2:B4, 2, FALSE), "Item Not Found")</f>
        <v>Item Not Found</v>
      </c>
    </row>
    <row r="27" spans="1:2">
      <c r="A27" s="15" t="s">
        <v>158</v>
      </c>
    </row>
    <row r="28" spans="1:2">
      <c r="A28" s="8" t="s">
        <v>159</v>
      </c>
    </row>
    <row r="29" spans="1:2">
      <c r="A29" s="12" t="str">
        <f>_xlfn.IFNA(VLOOKUP(B5, A2:B4, 2, FALSE), "Please check the code")</f>
        <v>Please check the code</v>
      </c>
    </row>
    <row r="30" spans="1:2">
      <c r="A30" s="5" t="s">
        <v>30</v>
      </c>
    </row>
    <row r="31" spans="1:2">
      <c r="A31" s="8" t="s">
        <v>160</v>
      </c>
    </row>
    <row r="32" spans="1:2">
      <c r="A32" s="8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2433-8328-4B3C-83E3-AB5C1556C2A2}">
  <dimension ref="A1:C12"/>
  <sheetViews>
    <sheetView workbookViewId="0">
      <selection activeCell="A5" sqref="A5"/>
    </sheetView>
  </sheetViews>
  <sheetFormatPr defaultRowHeight="15"/>
  <cols>
    <col min="1" max="1" width="13.85546875" customWidth="1"/>
    <col min="2" max="2" width="17.28515625" customWidth="1"/>
    <col min="3" max="3" width="12.7109375" customWidth="1"/>
  </cols>
  <sheetData>
    <row r="1" spans="1:3">
      <c r="B1" t="s">
        <v>264</v>
      </c>
    </row>
    <row r="2" spans="1:3">
      <c r="A2" t="s">
        <v>0</v>
      </c>
      <c r="B2" t="s">
        <v>1</v>
      </c>
      <c r="C2" t="s">
        <v>241</v>
      </c>
    </row>
    <row r="3" spans="1:3">
      <c r="A3">
        <v>171501</v>
      </c>
      <c r="B3" t="s">
        <v>242</v>
      </c>
      <c r="C3">
        <v>25000</v>
      </c>
    </row>
    <row r="4" spans="1:3">
      <c r="A4">
        <v>171502</v>
      </c>
      <c r="B4" t="s">
        <v>243</v>
      </c>
      <c r="C4">
        <v>45000</v>
      </c>
    </row>
    <row r="5" spans="1:3">
      <c r="A5">
        <v>171503</v>
      </c>
      <c r="B5" t="s">
        <v>244</v>
      </c>
      <c r="C5">
        <v>36000</v>
      </c>
    </row>
    <row r="6" spans="1:3">
      <c r="A6">
        <v>171504</v>
      </c>
      <c r="B6" t="s">
        <v>245</v>
      </c>
      <c r="C6">
        <v>15000</v>
      </c>
    </row>
    <row r="7" spans="1:3">
      <c r="A7">
        <v>171505</v>
      </c>
      <c r="B7" t="s">
        <v>246</v>
      </c>
      <c r="C7">
        <v>25000</v>
      </c>
    </row>
    <row r="8" spans="1:3">
      <c r="A8">
        <v>171506</v>
      </c>
      <c r="B8" t="s">
        <v>247</v>
      </c>
      <c r="C8">
        <v>58000</v>
      </c>
    </row>
    <row r="9" spans="1:3">
      <c r="A9">
        <v>171507</v>
      </c>
      <c r="B9" t="s">
        <v>248</v>
      </c>
      <c r="C9">
        <v>49000</v>
      </c>
    </row>
    <row r="10" spans="1:3">
      <c r="A10">
        <v>171508</v>
      </c>
      <c r="B10" t="s">
        <v>249</v>
      </c>
      <c r="C10">
        <v>47000</v>
      </c>
    </row>
    <row r="11" spans="1:3">
      <c r="A11">
        <v>171509</v>
      </c>
      <c r="B11" t="s">
        <v>250</v>
      </c>
      <c r="C11">
        <v>53000</v>
      </c>
    </row>
    <row r="12" spans="1:3">
      <c r="A12">
        <v>171510</v>
      </c>
      <c r="B12" t="s">
        <v>251</v>
      </c>
      <c r="C12">
        <v>29000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C2B5-3CE3-49BF-AA00-605AF6B74D61}">
  <dimension ref="A1:C12"/>
  <sheetViews>
    <sheetView workbookViewId="0">
      <selection activeCell="A7" sqref="A7"/>
    </sheetView>
  </sheetViews>
  <sheetFormatPr defaultRowHeight="15"/>
  <cols>
    <col min="1" max="1" width="13.85546875" customWidth="1"/>
    <col min="2" max="2" width="17.28515625" customWidth="1"/>
    <col min="3" max="3" width="12.7109375" customWidth="1"/>
  </cols>
  <sheetData>
    <row r="1" spans="1:3">
      <c r="B1" t="s">
        <v>263</v>
      </c>
    </row>
    <row r="2" spans="1:3">
      <c r="A2" t="s">
        <v>0</v>
      </c>
      <c r="B2" t="s">
        <v>1</v>
      </c>
      <c r="C2" t="s">
        <v>241</v>
      </c>
    </row>
    <row r="3" spans="1:3">
      <c r="A3">
        <v>171550</v>
      </c>
      <c r="B3" t="s">
        <v>252</v>
      </c>
      <c r="C3">
        <v>65000</v>
      </c>
    </row>
    <row r="4" spans="1:3">
      <c r="A4">
        <v>171551</v>
      </c>
      <c r="B4" t="s">
        <v>253</v>
      </c>
      <c r="C4">
        <v>85000</v>
      </c>
    </row>
    <row r="5" spans="1:3">
      <c r="A5">
        <v>171552</v>
      </c>
      <c r="B5" t="s">
        <v>254</v>
      </c>
      <c r="C5">
        <v>48000</v>
      </c>
    </row>
    <row r="6" spans="1:3">
      <c r="A6">
        <v>171553</v>
      </c>
      <c r="B6" t="s">
        <v>255</v>
      </c>
      <c r="C6">
        <v>36000</v>
      </c>
    </row>
    <row r="7" spans="1:3">
      <c r="A7">
        <v>171554</v>
      </c>
      <c r="B7" t="s">
        <v>256</v>
      </c>
      <c r="C7">
        <v>47000</v>
      </c>
    </row>
    <row r="8" spans="1:3">
      <c r="A8">
        <v>171555</v>
      </c>
      <c r="B8" t="s">
        <v>257</v>
      </c>
      <c r="C8">
        <v>15000</v>
      </c>
    </row>
    <row r="9" spans="1:3">
      <c r="A9">
        <v>171556</v>
      </c>
      <c r="B9" t="s">
        <v>258</v>
      </c>
      <c r="C9">
        <v>29000</v>
      </c>
    </row>
    <row r="10" spans="1:3">
      <c r="A10">
        <v>171557</v>
      </c>
      <c r="B10" t="s">
        <v>259</v>
      </c>
      <c r="C10">
        <v>77000</v>
      </c>
    </row>
    <row r="11" spans="1:3">
      <c r="A11">
        <v>171558</v>
      </c>
      <c r="B11" t="s">
        <v>260</v>
      </c>
      <c r="C11">
        <v>25000</v>
      </c>
    </row>
    <row r="12" spans="1:3">
      <c r="A12">
        <v>171559</v>
      </c>
      <c r="B12" t="s">
        <v>261</v>
      </c>
      <c r="C12">
        <v>33000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0DE5-FCAA-4833-9A9D-F571E49529D9}">
  <dimension ref="A3:B4"/>
  <sheetViews>
    <sheetView workbookViewId="0">
      <selection activeCell="B4" sqref="B4:B5"/>
    </sheetView>
  </sheetViews>
  <sheetFormatPr defaultRowHeight="15"/>
  <cols>
    <col min="1" max="1" width="11.7109375" bestFit="1" customWidth="1"/>
  </cols>
  <sheetData>
    <row r="3" spans="1:2">
      <c r="A3" t="s">
        <v>0</v>
      </c>
      <c r="B3" s="42">
        <v>17145554</v>
      </c>
    </row>
    <row r="4" spans="1:2">
      <c r="A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VLOOKUP</vt:lpstr>
      <vt:lpstr>HLOOKUP</vt:lpstr>
      <vt:lpstr>XLOOKUP</vt:lpstr>
      <vt:lpstr>SUMIFS-COUNTIFS-AVERAGEIFS</vt:lpstr>
      <vt:lpstr>IFS</vt:lpstr>
      <vt:lpstr>INDEX + MATCH</vt:lpstr>
      <vt:lpstr> IFERROR &amp; IFNA</vt:lpstr>
      <vt:lpstr>South Region sales</vt:lpstr>
      <vt:lpstr>West Region Sales</vt:lpstr>
      <vt:lpstr>Lookup_sales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 mydeen</dc:creator>
  <cp:lastModifiedBy>haja mydeen</cp:lastModifiedBy>
  <dcterms:created xsi:type="dcterms:W3CDTF">2025-11-23T16:56:02Z</dcterms:created>
  <dcterms:modified xsi:type="dcterms:W3CDTF">2025-12-14T17:35:36Z</dcterms:modified>
</cp:coreProperties>
</file>